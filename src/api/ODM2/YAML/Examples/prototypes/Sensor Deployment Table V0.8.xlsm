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autoCompressPictures="0"/>
  <bookViews>
    <workbookView xWindow="-15" yWindow="45" windowWidth="19230" windowHeight="11700" activeTab="3"/>
  </bookViews>
  <sheets>
    <sheet name="SingleTable" sheetId="1" r:id="rId1"/>
    <sheet name="Instructions" sheetId="21" r:id="rId2"/>
    <sheet name="DataStream" sheetId="2" r:id="rId3"/>
    <sheet name="Sites" sheetId="3" r:id="rId4"/>
    <sheet name="Logger" sheetId="7" r:id="rId5"/>
    <sheet name="Sensors" sheetId="6" r:id="rId6"/>
    <sheet name="Variables" sheetId="10" r:id="rId7"/>
    <sheet name="Calibrations" sheetId="22" r:id="rId8"/>
    <sheet name="People" sheetId="20" r:id="rId9"/>
    <sheet name="UnitsCV" sheetId="14" r:id="rId10"/>
    <sheet name="DataTypeCV" sheetId="15" r:id="rId11"/>
    <sheet name="MediumTypeCV" sheetId="17" r:id="rId12"/>
    <sheet name="Deployment" sheetId="5" r:id="rId13"/>
    <sheet name="DataSeries" sheetId="8" r:id="rId14"/>
    <sheet name="DataValue" sheetId="13" r:id="rId15"/>
    <sheet name="DataEntry" sheetId="16" r:id="rId16"/>
    <sheet name="Header-Verbose" sheetId="18" r:id="rId17"/>
  </sheets>
  <functionGroups builtInGroupCount="17"/>
  <definedNames>
    <definedName name="_xlnm._FilterDatabase" localSheetId="4" hidden="1">Logger!$A$1:$E$17</definedName>
  </definedNames>
  <calcPr calcId="145621"/>
  <pivotCaches>
    <pivotCache cacheId="0" r:id="rId18"/>
    <pivotCache cacheId="1" r:id="rId19"/>
    <pivotCache cacheId="2" r:id="rId20"/>
    <pivotCache cacheId="3" r:id="rId21"/>
    <pivotCache cacheId="4" r:id="rId22"/>
    <pivotCache cacheId="5" r:id="rId23"/>
    <pivotCache cacheId="6" r:id="rId24"/>
    <pivotCache cacheId="7" r:id="rId25"/>
    <pivotCache cacheId="8" r:id="rId26"/>
    <pivotCache cacheId="9" r:id="rId27"/>
  </pivotCaches>
</workbook>
</file>

<file path=xl/calcChain.xml><?xml version="1.0" encoding="utf-8"?>
<calcChain xmlns="http://schemas.openxmlformats.org/spreadsheetml/2006/main">
  <c r="A79" i="18" l="1"/>
  <c r="A35" i="18"/>
  <c r="H8" i="16" l="1"/>
  <c r="A18" i="16"/>
  <c r="V18" i="16" s="1"/>
  <c r="G4" i="16"/>
  <c r="A23" i="18" s="1"/>
  <c r="H4" i="16"/>
  <c r="I4" i="16"/>
  <c r="Y18" i="16"/>
  <c r="AC18" i="16"/>
  <c r="AF18" i="16"/>
  <c r="AG18" i="16"/>
  <c r="AH18" i="16"/>
  <c r="AI18" i="16"/>
  <c r="AJ18" i="16"/>
  <c r="V17" i="16"/>
  <c r="Y17" i="16"/>
  <c r="Z17" i="16"/>
  <c r="AA17" i="16"/>
  <c r="AB17" i="16"/>
  <c r="AC17" i="16"/>
  <c r="AD17" i="16"/>
  <c r="AE17" i="16"/>
  <c r="AF17" i="16"/>
  <c r="AG17" i="16"/>
  <c r="AH17" i="16"/>
  <c r="AI17" i="16"/>
  <c r="AJ17" i="16"/>
  <c r="L17" i="5"/>
  <c r="K4" i="16"/>
  <c r="A13" i="18" s="1"/>
  <c r="L2" i="5"/>
  <c r="L3" i="5"/>
  <c r="L4" i="5"/>
  <c r="L5" i="5"/>
  <c r="L6" i="5"/>
  <c r="L7" i="5"/>
  <c r="L8" i="5"/>
  <c r="L9" i="5"/>
  <c r="L10" i="5"/>
  <c r="L11" i="5"/>
  <c r="L12" i="5"/>
  <c r="L13" i="5"/>
  <c r="L14" i="5"/>
  <c r="L15" i="5"/>
  <c r="L16"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2" i="7"/>
  <c r="L3" i="7"/>
  <c r="L4" i="7"/>
  <c r="L5" i="7"/>
  <c r="L6" i="7"/>
  <c r="L7" i="7"/>
  <c r="L8" i="7"/>
  <c r="L9" i="7"/>
  <c r="L10" i="7"/>
  <c r="L11" i="7"/>
  <c r="L12" i="7"/>
  <c r="L13" i="7"/>
  <c r="L14" i="7"/>
  <c r="L15" i="7"/>
  <c r="L16" i="7"/>
  <c r="L17" i="7"/>
  <c r="L18" i="7"/>
  <c r="K2" i="6"/>
  <c r="K3" i="6"/>
  <c r="K4" i="6"/>
  <c r="K5" i="6"/>
  <c r="K6" i="6"/>
  <c r="K7" i="6"/>
  <c r="K8" i="6"/>
  <c r="K9" i="6"/>
  <c r="K10" i="6"/>
  <c r="K11" i="6"/>
  <c r="K12" i="6"/>
  <c r="K13" i="6"/>
  <c r="K14" i="6"/>
  <c r="K15" i="6"/>
  <c r="K16" i="6"/>
  <c r="K17" i="6"/>
  <c r="K18" i="6"/>
  <c r="AC2" i="8"/>
  <c r="AC3" i="8"/>
  <c r="AC4" i="8"/>
  <c r="AC5"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92" i="8"/>
  <c r="AC93" i="8"/>
  <c r="AC94" i="8"/>
  <c r="AC95" i="8"/>
  <c r="AC96" i="8"/>
  <c r="AC97" i="8"/>
  <c r="AC98" i="8"/>
  <c r="AC99" i="8"/>
  <c r="AC100" i="8"/>
  <c r="AC101" i="8"/>
  <c r="AC102" i="8"/>
  <c r="AC103" i="8"/>
  <c r="AC104" i="8"/>
  <c r="AC105" i="8"/>
  <c r="AC106" i="8"/>
  <c r="AC107" i="8"/>
  <c r="AC108" i="8"/>
  <c r="AC109" i="8"/>
  <c r="AC110" i="8"/>
  <c r="AC111" i="8"/>
  <c r="A19" i="18"/>
  <c r="A112" i="8"/>
  <c r="A113" i="8"/>
  <c r="A114" i="8"/>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210" i="8" s="1"/>
  <c r="A211" i="8" s="1"/>
  <c r="A212" i="8" s="1"/>
  <c r="A213" i="8" s="1"/>
  <c r="A214" i="8" s="1"/>
  <c r="A215" i="8" s="1"/>
  <c r="A216" i="8" s="1"/>
  <c r="A217" i="8" s="1"/>
  <c r="A218" i="8" s="1"/>
  <c r="A219" i="8" s="1"/>
  <c r="A220" i="8" s="1"/>
  <c r="A221" i="8" s="1"/>
  <c r="A222" i="8" s="1"/>
  <c r="A223" i="8" s="1"/>
  <c r="A224" i="8" s="1"/>
  <c r="A225" i="8" s="1"/>
  <c r="A226" i="8" s="1"/>
  <c r="A227" i="8" s="1"/>
  <c r="A228" i="8" s="1"/>
  <c r="A229" i="8" s="1"/>
  <c r="A230" i="8" s="1"/>
  <c r="A231" i="8" s="1"/>
  <c r="A232" i="8" s="1"/>
  <c r="A233" i="8" s="1"/>
  <c r="A234" i="8" s="1"/>
  <c r="A235" i="8" s="1"/>
  <c r="A236" i="8" s="1"/>
  <c r="A237" i="8" s="1"/>
  <c r="A238" i="8" s="1"/>
  <c r="A239" i="8" s="1"/>
  <c r="A240" i="8" s="1"/>
  <c r="A241" i="8" s="1"/>
  <c r="A242" i="8" s="1"/>
  <c r="A243" i="8" s="1"/>
  <c r="A244" i="8" s="1"/>
  <c r="A245" i="8" s="1"/>
  <c r="A246" i="8" s="1"/>
  <c r="A247" i="8" s="1"/>
  <c r="A248" i="8" s="1"/>
  <c r="A249" i="8" s="1"/>
  <c r="A250" i="8" s="1"/>
  <c r="A49" i="5"/>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T110" i="8"/>
  <c r="U110" i="8"/>
  <c r="V110" i="8"/>
  <c r="W110" i="8"/>
  <c r="X110" i="8"/>
  <c r="Y110" i="8"/>
  <c r="Z110" i="8"/>
  <c r="T111" i="8"/>
  <c r="U111" i="8"/>
  <c r="V111" i="8"/>
  <c r="W111" i="8"/>
  <c r="X111" i="8"/>
  <c r="Y111" i="8"/>
  <c r="Z111" i="8"/>
  <c r="AI19" i="16"/>
  <c r="AF19" i="16"/>
  <c r="AG19" i="16"/>
  <c r="AH19" i="16"/>
  <c r="AJ19" i="16"/>
  <c r="AI20" i="16"/>
  <c r="AF20" i="16"/>
  <c r="AG20" i="16"/>
  <c r="AH20" i="16"/>
  <c r="AJ20" i="16"/>
  <c r="AI21" i="16"/>
  <c r="AF21" i="16"/>
  <c r="AG21" i="16"/>
  <c r="AH21" i="16"/>
  <c r="AJ21" i="16"/>
  <c r="AI22" i="16"/>
  <c r="AF22" i="16"/>
  <c r="AG22" i="16"/>
  <c r="AH22" i="16"/>
  <c r="AJ22" i="16"/>
  <c r="AI23" i="16"/>
  <c r="AF23" i="16"/>
  <c r="AG23" i="16"/>
  <c r="AH23" i="16"/>
  <c r="AJ23" i="16"/>
  <c r="AI24" i="16"/>
  <c r="AF24" i="16"/>
  <c r="AG24" i="16"/>
  <c r="AH24" i="16"/>
  <c r="AJ24" i="16"/>
  <c r="AI25" i="16"/>
  <c r="AF25" i="16"/>
  <c r="AG25" i="16"/>
  <c r="AH25" i="16"/>
  <c r="AJ25" i="16"/>
  <c r="AI26" i="16"/>
  <c r="AF26" i="16"/>
  <c r="AG26" i="16"/>
  <c r="AH26" i="16"/>
  <c r="AJ26" i="16"/>
  <c r="AI27" i="16"/>
  <c r="AF27" i="16"/>
  <c r="AG27" i="16"/>
  <c r="AH27" i="16"/>
  <c r="AJ27" i="16"/>
  <c r="AI28" i="16"/>
  <c r="AF28" i="16"/>
  <c r="AG28" i="16"/>
  <c r="AH28" i="16"/>
  <c r="AJ28" i="16"/>
  <c r="AI29" i="16"/>
  <c r="AF29" i="16"/>
  <c r="AG29" i="16"/>
  <c r="AH29" i="16"/>
  <c r="AJ29" i="16"/>
  <c r="AI30" i="16"/>
  <c r="AF30" i="16"/>
  <c r="AG30" i="16"/>
  <c r="AH30" i="16"/>
  <c r="AJ30" i="16"/>
  <c r="AI31" i="16"/>
  <c r="AF31" i="16"/>
  <c r="AG31" i="16"/>
  <c r="AH31" i="16"/>
  <c r="AJ31" i="16"/>
  <c r="AI32" i="16"/>
  <c r="AF32" i="16"/>
  <c r="AG32" i="16"/>
  <c r="AH32" i="16"/>
  <c r="AJ32" i="16"/>
  <c r="AI33" i="16"/>
  <c r="AF33" i="16"/>
  <c r="AG33" i="16"/>
  <c r="AH33" i="16"/>
  <c r="AJ33" i="16"/>
  <c r="AI34" i="16"/>
  <c r="AF34" i="16"/>
  <c r="AG34" i="16"/>
  <c r="AH34" i="16"/>
  <c r="AJ34" i="16"/>
  <c r="AI35" i="16"/>
  <c r="AF35" i="16"/>
  <c r="AG35" i="16"/>
  <c r="AH35" i="16"/>
  <c r="AJ35" i="16"/>
  <c r="AI36" i="16"/>
  <c r="AF36" i="16"/>
  <c r="AG36" i="16"/>
  <c r="AH36" i="16"/>
  <c r="AJ36" i="16"/>
  <c r="AI37" i="16"/>
  <c r="AF37" i="16"/>
  <c r="AG37" i="16"/>
  <c r="AH37" i="16"/>
  <c r="AJ37" i="16"/>
  <c r="AI38" i="16"/>
  <c r="AF38" i="16"/>
  <c r="AG38" i="16"/>
  <c r="AH38" i="16"/>
  <c r="AJ38" i="16"/>
  <c r="AI39" i="16"/>
  <c r="AF39" i="16"/>
  <c r="AG39" i="16"/>
  <c r="AH39" i="16"/>
  <c r="AJ39" i="16"/>
  <c r="AI40" i="16"/>
  <c r="AF40" i="16"/>
  <c r="AG40" i="16"/>
  <c r="AH40" i="16"/>
  <c r="AJ40" i="16"/>
  <c r="AI41" i="16"/>
  <c r="AF41" i="16"/>
  <c r="AG41" i="16"/>
  <c r="AH41" i="16"/>
  <c r="AJ41" i="16"/>
  <c r="AI42" i="16"/>
  <c r="AF42" i="16"/>
  <c r="AG42" i="16"/>
  <c r="AH42" i="16"/>
  <c r="AJ42" i="16"/>
  <c r="AI43" i="16"/>
  <c r="AF43" i="16"/>
  <c r="AG43" i="16"/>
  <c r="AH43" i="16"/>
  <c r="AJ43" i="16"/>
  <c r="AI44" i="16"/>
  <c r="AF44" i="16"/>
  <c r="AG44" i="16"/>
  <c r="AH44" i="16"/>
  <c r="AJ44" i="16"/>
  <c r="AI45" i="16"/>
  <c r="AF45" i="16"/>
  <c r="AG45" i="16"/>
  <c r="AH45" i="16"/>
  <c r="AJ45" i="16"/>
  <c r="AI46" i="16"/>
  <c r="AF46" i="16"/>
  <c r="AG46" i="16"/>
  <c r="AH46" i="16"/>
  <c r="AJ46" i="16"/>
  <c r="AI47" i="16"/>
  <c r="AF47" i="16"/>
  <c r="AG47" i="16"/>
  <c r="AH47" i="16"/>
  <c r="AJ47" i="16"/>
  <c r="AI48" i="16"/>
  <c r="AF48" i="16"/>
  <c r="AG48" i="16"/>
  <c r="AH48" i="16"/>
  <c r="AJ48" i="16"/>
  <c r="AI49" i="16"/>
  <c r="AF49" i="16"/>
  <c r="AG49" i="16"/>
  <c r="AH49" i="16"/>
  <c r="AJ49" i="16"/>
  <c r="AI50" i="16"/>
  <c r="AF50" i="16"/>
  <c r="AG50" i="16"/>
  <c r="AH50" i="16"/>
  <c r="AJ50" i="16"/>
  <c r="AI51" i="16"/>
  <c r="AF51" i="16"/>
  <c r="AG51" i="16"/>
  <c r="AH51" i="16"/>
  <c r="AJ51" i="16"/>
  <c r="AI52" i="16"/>
  <c r="AF52" i="16"/>
  <c r="AG52" i="16"/>
  <c r="AH52" i="16"/>
  <c r="AJ52" i="16"/>
  <c r="AI53" i="16"/>
  <c r="AF53" i="16"/>
  <c r="AG53" i="16"/>
  <c r="AH53" i="16"/>
  <c r="AJ53" i="16"/>
  <c r="AI54" i="16"/>
  <c r="AF54" i="16"/>
  <c r="AG54" i="16"/>
  <c r="AH54" i="16"/>
  <c r="AJ54" i="16"/>
  <c r="AI55" i="16"/>
  <c r="AF55" i="16"/>
  <c r="AG55" i="16"/>
  <c r="AH55" i="16"/>
  <c r="AJ55" i="16"/>
  <c r="AI56" i="16"/>
  <c r="AF56" i="16"/>
  <c r="AG56" i="16"/>
  <c r="AH56" i="16"/>
  <c r="AJ56" i="16"/>
  <c r="AI57" i="16"/>
  <c r="AF57" i="16"/>
  <c r="AG57" i="16"/>
  <c r="AH57" i="16"/>
  <c r="AJ57" i="16"/>
  <c r="AI58" i="16"/>
  <c r="AF58" i="16"/>
  <c r="AG58" i="16"/>
  <c r="AH58" i="16"/>
  <c r="AJ58" i="16"/>
  <c r="AI59" i="16"/>
  <c r="AF59" i="16"/>
  <c r="AG59" i="16"/>
  <c r="AH59" i="16"/>
  <c r="AJ59" i="16"/>
  <c r="AI60" i="16"/>
  <c r="AF60" i="16"/>
  <c r="AG60" i="16"/>
  <c r="AH60" i="16"/>
  <c r="AJ60" i="16"/>
  <c r="AI61" i="16"/>
  <c r="AF61" i="16"/>
  <c r="AG61" i="16"/>
  <c r="AH61" i="16"/>
  <c r="AJ61" i="16"/>
  <c r="AI62" i="16"/>
  <c r="AF62" i="16"/>
  <c r="AG62" i="16"/>
  <c r="AH62" i="16"/>
  <c r="AJ62" i="16"/>
  <c r="AI63" i="16"/>
  <c r="AF63" i="16"/>
  <c r="AG63" i="16"/>
  <c r="AH63" i="16"/>
  <c r="AJ63" i="16"/>
  <c r="AI64" i="16"/>
  <c r="AF64" i="16"/>
  <c r="AG64" i="16"/>
  <c r="AH64" i="16"/>
  <c r="AJ64" i="16"/>
  <c r="A17" i="18"/>
  <c r="A18" i="18"/>
  <c r="A16" i="18"/>
  <c r="A21" i="18"/>
  <c r="A20" i="18"/>
  <c r="A8" i="18"/>
  <c r="A6" i="18"/>
  <c r="AA110" i="8"/>
  <c r="AA111" i="8"/>
  <c r="T104" i="8"/>
  <c r="U104" i="8"/>
  <c r="T105" i="8"/>
  <c r="U105" i="8"/>
  <c r="T106" i="8"/>
  <c r="U106" i="8"/>
  <c r="T107" i="8"/>
  <c r="U107" i="8"/>
  <c r="T108" i="8"/>
  <c r="U108" i="8"/>
  <c r="T109" i="8"/>
  <c r="U109" i="8"/>
  <c r="V104" i="8"/>
  <c r="V105" i="8"/>
  <c r="V106" i="8"/>
  <c r="V107" i="8"/>
  <c r="V108" i="8"/>
  <c r="V109" i="8"/>
  <c r="W104" i="8"/>
  <c r="W105" i="8"/>
  <c r="W106" i="8"/>
  <c r="W107" i="8"/>
  <c r="W108" i="8"/>
  <c r="W109" i="8"/>
  <c r="Y104" i="8"/>
  <c r="Y105" i="8"/>
  <c r="Y106" i="8"/>
  <c r="Y107" i="8"/>
  <c r="Y108" i="8"/>
  <c r="Y109" i="8"/>
  <c r="X104" i="8"/>
  <c r="X105" i="8"/>
  <c r="X106" i="8"/>
  <c r="X107" i="8"/>
  <c r="X108" i="8"/>
  <c r="X109" i="8"/>
  <c r="Z104" i="8"/>
  <c r="AA104" i="8"/>
  <c r="Z105" i="8"/>
  <c r="AA105" i="8"/>
  <c r="Z106" i="8"/>
  <c r="AA106" i="8"/>
  <c r="Z107" i="8"/>
  <c r="AA107" i="8"/>
  <c r="Z108" i="8"/>
  <c r="AA108" i="8"/>
  <c r="Z109" i="8"/>
  <c r="AA109" i="8"/>
  <c r="AA98" i="8"/>
  <c r="AA99" i="8"/>
  <c r="AA100" i="8"/>
  <c r="AA101" i="8"/>
  <c r="AA102" i="8"/>
  <c r="AA103" i="8"/>
  <c r="Z98" i="8"/>
  <c r="Z99" i="8"/>
  <c r="Z100" i="8"/>
  <c r="Z101" i="8"/>
  <c r="Z102" i="8"/>
  <c r="Z103" i="8"/>
  <c r="Y98" i="8"/>
  <c r="Y99" i="8"/>
  <c r="Y100" i="8"/>
  <c r="Y101" i="8"/>
  <c r="Y102" i="8"/>
  <c r="Y103" i="8"/>
  <c r="X98" i="8"/>
  <c r="X99" i="8"/>
  <c r="X100" i="8"/>
  <c r="X101" i="8"/>
  <c r="X102" i="8"/>
  <c r="X103" i="8"/>
  <c r="W98" i="8"/>
  <c r="W99" i="8"/>
  <c r="W100" i="8"/>
  <c r="W101" i="8"/>
  <c r="W102" i="8"/>
  <c r="W103" i="8"/>
  <c r="V98" i="8"/>
  <c r="V99" i="8"/>
  <c r="V100" i="8"/>
  <c r="V101" i="8"/>
  <c r="V102" i="8"/>
  <c r="V103" i="8"/>
  <c r="T98" i="8"/>
  <c r="U98" i="8"/>
  <c r="T99" i="8"/>
  <c r="U99" i="8"/>
  <c r="T100" i="8"/>
  <c r="U100" i="8"/>
  <c r="T101" i="8"/>
  <c r="U101" i="8"/>
  <c r="T102" i="8"/>
  <c r="U102" i="8"/>
  <c r="T103" i="8"/>
  <c r="U103" i="8"/>
  <c r="L4" i="16"/>
  <c r="Y11" i="8"/>
  <c r="J4" i="16"/>
  <c r="Z3" i="8"/>
  <c r="Z4" i="8"/>
  <c r="Z5" i="8"/>
  <c r="Z6" i="8"/>
  <c r="Z7" i="8"/>
  <c r="Z8" i="8"/>
  <c r="Z9" i="8"/>
  <c r="Z10" i="8"/>
  <c r="Z11" i="8"/>
  <c r="Z12" i="8"/>
  <c r="Z13" i="8"/>
  <c r="Z14" i="8"/>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2" i="8"/>
  <c r="AA2" i="8"/>
  <c r="AA97" i="8"/>
  <c r="AA96" i="8"/>
  <c r="AA95" i="8"/>
  <c r="AA94" i="8"/>
  <c r="AA93" i="8"/>
  <c r="AA92" i="8"/>
  <c r="AA91" i="8"/>
  <c r="AA90" i="8"/>
  <c r="AA89" i="8"/>
  <c r="AA88" i="8"/>
  <c r="AA87" i="8"/>
  <c r="AA86" i="8"/>
  <c r="AA85" i="8"/>
  <c r="AA84" i="8"/>
  <c r="AA83" i="8"/>
  <c r="AA82" i="8"/>
  <c r="AA81" i="8"/>
  <c r="AA80" i="8"/>
  <c r="AA79" i="8"/>
  <c r="AA78" i="8"/>
  <c r="AA77" i="8"/>
  <c r="AA76" i="8"/>
  <c r="AA75" i="8"/>
  <c r="AA74" i="8"/>
  <c r="AA73" i="8"/>
  <c r="AA72" i="8"/>
  <c r="AA71" i="8"/>
  <c r="AA70" i="8"/>
  <c r="AA69" i="8"/>
  <c r="AA68" i="8"/>
  <c r="AA67" i="8"/>
  <c r="AA66" i="8"/>
  <c r="AA65" i="8"/>
  <c r="AA64" i="8"/>
  <c r="AA63" i="8"/>
  <c r="AA62" i="8"/>
  <c r="AA61" i="8"/>
  <c r="AA60" i="8"/>
  <c r="AA59" i="8"/>
  <c r="AA58" i="8"/>
  <c r="AA57" i="8"/>
  <c r="AA56" i="8"/>
  <c r="AA55" i="8"/>
  <c r="AA54" i="8"/>
  <c r="AA53" i="8"/>
  <c r="AA52" i="8"/>
  <c r="AA51" i="8"/>
  <c r="AA50" i="8"/>
  <c r="AA49" i="8"/>
  <c r="AA48" i="8"/>
  <c r="AA47" i="8"/>
  <c r="AA46" i="8"/>
  <c r="AA45" i="8"/>
  <c r="AA44" i="8"/>
  <c r="AA43" i="8"/>
  <c r="AA42" i="8"/>
  <c r="AA41" i="8"/>
  <c r="AA40" i="8"/>
  <c r="AA39" i="8"/>
  <c r="AA38" i="8"/>
  <c r="AA37" i="8"/>
  <c r="AA36" i="8"/>
  <c r="AA35" i="8"/>
  <c r="AA34" i="8"/>
  <c r="AA33" i="8"/>
  <c r="AA32" i="8"/>
  <c r="AA31" i="8"/>
  <c r="AA30" i="8"/>
  <c r="AA29" i="8"/>
  <c r="AA28" i="8"/>
  <c r="AA27" i="8"/>
  <c r="AA26" i="8"/>
  <c r="AA25" i="8"/>
  <c r="AA24" i="8"/>
  <c r="AA23" i="8"/>
  <c r="AA22" i="8"/>
  <c r="AA21" i="8"/>
  <c r="AA20" i="8"/>
  <c r="AA19" i="8"/>
  <c r="AA18" i="8"/>
  <c r="AA17" i="8"/>
  <c r="AA16" i="8"/>
  <c r="AA15" i="8"/>
  <c r="AA14" i="8"/>
  <c r="AA13" i="8"/>
  <c r="AA12" i="8"/>
  <c r="AA11" i="8"/>
  <c r="AA10" i="8"/>
  <c r="AA9" i="8"/>
  <c r="AA8" i="8"/>
  <c r="AA7" i="8"/>
  <c r="AA6" i="8"/>
  <c r="AA5" i="8"/>
  <c r="AA4" i="8"/>
  <c r="AA3" i="8"/>
  <c r="V2"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X2" i="8"/>
  <c r="T2" i="8"/>
  <c r="U2" i="8"/>
  <c r="W2" i="8"/>
  <c r="Y2" i="8"/>
  <c r="T3" i="8"/>
  <c r="U3" i="8"/>
  <c r="V3" i="8"/>
  <c r="W3" i="8"/>
  <c r="Y3" i="8"/>
  <c r="T4" i="8"/>
  <c r="U4" i="8"/>
  <c r="V4" i="8"/>
  <c r="W4" i="8"/>
  <c r="Y4" i="8"/>
  <c r="T5" i="8"/>
  <c r="U5" i="8"/>
  <c r="V5" i="8"/>
  <c r="W5" i="8"/>
  <c r="Y5" i="8"/>
  <c r="T6" i="8"/>
  <c r="U6" i="8"/>
  <c r="V6" i="8"/>
  <c r="W6" i="8"/>
  <c r="Y6" i="8"/>
  <c r="T7" i="8"/>
  <c r="U7" i="8"/>
  <c r="V7" i="8"/>
  <c r="W7" i="8"/>
  <c r="Y7" i="8"/>
  <c r="T8" i="8"/>
  <c r="U8" i="8"/>
  <c r="V8" i="8"/>
  <c r="W8" i="8"/>
  <c r="Y8" i="8"/>
  <c r="T9" i="8"/>
  <c r="U9" i="8"/>
  <c r="V9" i="8"/>
  <c r="W9" i="8"/>
  <c r="Y9" i="8"/>
  <c r="T10" i="8"/>
  <c r="U10" i="8"/>
  <c r="V10" i="8"/>
  <c r="W10" i="8"/>
  <c r="Y10" i="8"/>
  <c r="T11" i="8"/>
  <c r="U11" i="8"/>
  <c r="V11" i="8"/>
  <c r="W11" i="8"/>
  <c r="T12" i="8"/>
  <c r="U12" i="8"/>
  <c r="V12" i="8"/>
  <c r="W12" i="8"/>
  <c r="Y12" i="8"/>
  <c r="T13" i="8"/>
  <c r="U13" i="8"/>
  <c r="V13" i="8"/>
  <c r="W13" i="8"/>
  <c r="Y13" i="8"/>
  <c r="T14" i="8"/>
  <c r="U14" i="8"/>
  <c r="V14" i="8"/>
  <c r="W14" i="8"/>
  <c r="Y14" i="8"/>
  <c r="T15" i="8"/>
  <c r="U15" i="8"/>
  <c r="V15" i="8"/>
  <c r="W15" i="8"/>
  <c r="Y15" i="8"/>
  <c r="T16" i="8"/>
  <c r="U16" i="8"/>
  <c r="V16" i="8"/>
  <c r="W16" i="8"/>
  <c r="Y16" i="8"/>
  <c r="T17" i="8"/>
  <c r="U17" i="8"/>
  <c r="V17" i="8"/>
  <c r="W17" i="8"/>
  <c r="Y17" i="8"/>
  <c r="T18" i="8"/>
  <c r="U18" i="8"/>
  <c r="V18" i="8"/>
  <c r="W18" i="8"/>
  <c r="Y18" i="8"/>
  <c r="T19" i="8"/>
  <c r="U19" i="8"/>
  <c r="V19" i="8"/>
  <c r="W19" i="8"/>
  <c r="Y19" i="8"/>
  <c r="T20" i="8"/>
  <c r="U20" i="8"/>
  <c r="V20" i="8"/>
  <c r="W20" i="8"/>
  <c r="Y20" i="8"/>
  <c r="T21" i="8"/>
  <c r="U21" i="8"/>
  <c r="V21" i="8"/>
  <c r="W21" i="8"/>
  <c r="Y21" i="8"/>
  <c r="T22" i="8"/>
  <c r="U22" i="8"/>
  <c r="V22" i="8"/>
  <c r="W22" i="8"/>
  <c r="Y22" i="8"/>
  <c r="T23" i="8"/>
  <c r="U23" i="8"/>
  <c r="V23" i="8"/>
  <c r="W23" i="8"/>
  <c r="Y23" i="8"/>
  <c r="T24" i="8"/>
  <c r="U24" i="8"/>
  <c r="V24" i="8"/>
  <c r="W24" i="8"/>
  <c r="Y24" i="8"/>
  <c r="T25" i="8"/>
  <c r="U25" i="8"/>
  <c r="V25" i="8"/>
  <c r="W25" i="8"/>
  <c r="Y25" i="8"/>
  <c r="T26" i="8"/>
  <c r="U26" i="8"/>
  <c r="V26" i="8"/>
  <c r="W26" i="8"/>
  <c r="Y26" i="8"/>
  <c r="T27" i="8"/>
  <c r="U27" i="8"/>
  <c r="V27" i="8"/>
  <c r="W27" i="8"/>
  <c r="Y27" i="8"/>
  <c r="T28" i="8"/>
  <c r="U28" i="8"/>
  <c r="V28" i="8"/>
  <c r="W28" i="8"/>
  <c r="Y28" i="8"/>
  <c r="T29" i="8"/>
  <c r="U29" i="8"/>
  <c r="V29" i="8"/>
  <c r="W29" i="8"/>
  <c r="Y29" i="8"/>
  <c r="T30" i="8"/>
  <c r="U30" i="8"/>
  <c r="V30" i="8"/>
  <c r="W30" i="8"/>
  <c r="Y30" i="8"/>
  <c r="T31" i="8"/>
  <c r="U31" i="8"/>
  <c r="V31" i="8"/>
  <c r="W31" i="8"/>
  <c r="Y31" i="8"/>
  <c r="T32" i="8"/>
  <c r="U32" i="8"/>
  <c r="V32" i="8"/>
  <c r="W32" i="8"/>
  <c r="Y32" i="8"/>
  <c r="T33" i="8"/>
  <c r="U33" i="8"/>
  <c r="V33" i="8"/>
  <c r="W33" i="8"/>
  <c r="Y33" i="8"/>
  <c r="T34" i="8"/>
  <c r="U34" i="8"/>
  <c r="V34" i="8"/>
  <c r="W34" i="8"/>
  <c r="Y34" i="8"/>
  <c r="T35" i="8"/>
  <c r="U35" i="8"/>
  <c r="V35" i="8"/>
  <c r="W35" i="8"/>
  <c r="Y35" i="8"/>
  <c r="T36" i="8"/>
  <c r="U36" i="8"/>
  <c r="V36" i="8"/>
  <c r="W36" i="8"/>
  <c r="Y36" i="8"/>
  <c r="T37" i="8"/>
  <c r="U37" i="8"/>
  <c r="V37" i="8"/>
  <c r="W37" i="8"/>
  <c r="Y37" i="8"/>
  <c r="T38" i="8"/>
  <c r="U38" i="8"/>
  <c r="V38" i="8"/>
  <c r="W38" i="8"/>
  <c r="Y38" i="8"/>
  <c r="T39" i="8"/>
  <c r="U39" i="8"/>
  <c r="V39" i="8"/>
  <c r="W39" i="8"/>
  <c r="Y39" i="8"/>
  <c r="T40" i="8"/>
  <c r="U40" i="8"/>
  <c r="V40" i="8"/>
  <c r="W40" i="8"/>
  <c r="Y40" i="8"/>
  <c r="T41" i="8"/>
  <c r="U41" i="8"/>
  <c r="V41" i="8"/>
  <c r="W41" i="8"/>
  <c r="Y41" i="8"/>
  <c r="T42" i="8"/>
  <c r="U42" i="8"/>
  <c r="V42" i="8"/>
  <c r="W42" i="8"/>
  <c r="Y42" i="8"/>
  <c r="T43" i="8"/>
  <c r="U43" i="8"/>
  <c r="V43" i="8"/>
  <c r="W43" i="8"/>
  <c r="Y43" i="8"/>
  <c r="T44" i="8"/>
  <c r="U44" i="8"/>
  <c r="V44" i="8"/>
  <c r="W44" i="8"/>
  <c r="Y44" i="8"/>
  <c r="T45" i="8"/>
  <c r="U45" i="8"/>
  <c r="V45" i="8"/>
  <c r="W45" i="8"/>
  <c r="Y45" i="8"/>
  <c r="T46" i="8"/>
  <c r="U46" i="8"/>
  <c r="V46" i="8"/>
  <c r="W46" i="8"/>
  <c r="Y46" i="8"/>
  <c r="T47" i="8"/>
  <c r="U47" i="8"/>
  <c r="V47" i="8"/>
  <c r="W47" i="8"/>
  <c r="Y47" i="8"/>
  <c r="T48" i="8"/>
  <c r="U48" i="8"/>
  <c r="V48" i="8"/>
  <c r="W48" i="8"/>
  <c r="Y48" i="8"/>
  <c r="T49" i="8"/>
  <c r="U49" i="8"/>
  <c r="V49" i="8"/>
  <c r="W49" i="8"/>
  <c r="Y49" i="8"/>
  <c r="T50" i="8"/>
  <c r="U50" i="8"/>
  <c r="V50" i="8"/>
  <c r="W50" i="8"/>
  <c r="Y50" i="8"/>
  <c r="T51" i="8"/>
  <c r="U51" i="8"/>
  <c r="V51" i="8"/>
  <c r="W51" i="8"/>
  <c r="Y51" i="8"/>
  <c r="T52" i="8"/>
  <c r="U52" i="8"/>
  <c r="V52" i="8"/>
  <c r="W52" i="8"/>
  <c r="Y52" i="8"/>
  <c r="T53" i="8"/>
  <c r="U53" i="8"/>
  <c r="V53" i="8"/>
  <c r="W53" i="8"/>
  <c r="Y53" i="8"/>
  <c r="T54" i="8"/>
  <c r="U54" i="8"/>
  <c r="V54" i="8"/>
  <c r="W54" i="8"/>
  <c r="Y54" i="8"/>
  <c r="T55" i="8"/>
  <c r="U55" i="8"/>
  <c r="V55" i="8"/>
  <c r="W55" i="8"/>
  <c r="Y55" i="8"/>
  <c r="T56" i="8"/>
  <c r="U56" i="8"/>
  <c r="V56" i="8"/>
  <c r="W56" i="8"/>
  <c r="Y56" i="8"/>
  <c r="T57" i="8"/>
  <c r="U57" i="8"/>
  <c r="V57" i="8"/>
  <c r="W57" i="8"/>
  <c r="Y57" i="8"/>
  <c r="T58" i="8"/>
  <c r="U58" i="8"/>
  <c r="V58" i="8"/>
  <c r="W58" i="8"/>
  <c r="Y58" i="8"/>
  <c r="T59" i="8"/>
  <c r="U59" i="8"/>
  <c r="V59" i="8"/>
  <c r="W59" i="8"/>
  <c r="Y59" i="8"/>
  <c r="T60" i="8"/>
  <c r="U60" i="8"/>
  <c r="V60" i="8"/>
  <c r="W60" i="8"/>
  <c r="Y60" i="8"/>
  <c r="T61" i="8"/>
  <c r="U61" i="8"/>
  <c r="V61" i="8"/>
  <c r="W61" i="8"/>
  <c r="Y61" i="8"/>
  <c r="T62" i="8"/>
  <c r="U62" i="8"/>
  <c r="V62" i="8"/>
  <c r="W62" i="8"/>
  <c r="Y62" i="8"/>
  <c r="T63" i="8"/>
  <c r="U63" i="8"/>
  <c r="V63" i="8"/>
  <c r="W63" i="8"/>
  <c r="Y63" i="8"/>
  <c r="T64" i="8"/>
  <c r="U64" i="8"/>
  <c r="V64" i="8"/>
  <c r="W64" i="8"/>
  <c r="Y64" i="8"/>
  <c r="T65" i="8"/>
  <c r="U65" i="8"/>
  <c r="V65" i="8"/>
  <c r="W65" i="8"/>
  <c r="Y65" i="8"/>
  <c r="T66" i="8"/>
  <c r="U66" i="8"/>
  <c r="V66" i="8"/>
  <c r="W66" i="8"/>
  <c r="Y66" i="8"/>
  <c r="T67" i="8"/>
  <c r="U67" i="8"/>
  <c r="V67" i="8"/>
  <c r="W67" i="8"/>
  <c r="Y67" i="8"/>
  <c r="T68" i="8"/>
  <c r="U68" i="8"/>
  <c r="V68" i="8"/>
  <c r="W68" i="8"/>
  <c r="Y68" i="8"/>
  <c r="T69" i="8"/>
  <c r="U69" i="8"/>
  <c r="V69" i="8"/>
  <c r="W69" i="8"/>
  <c r="Y69" i="8"/>
  <c r="T70" i="8"/>
  <c r="U70" i="8"/>
  <c r="V70" i="8"/>
  <c r="W70" i="8"/>
  <c r="Y70" i="8"/>
  <c r="T71" i="8"/>
  <c r="U71" i="8"/>
  <c r="V71" i="8"/>
  <c r="W71" i="8"/>
  <c r="Y71" i="8"/>
  <c r="T72" i="8"/>
  <c r="U72" i="8"/>
  <c r="V72" i="8"/>
  <c r="W72" i="8"/>
  <c r="Y72" i="8"/>
  <c r="T73" i="8"/>
  <c r="U73" i="8"/>
  <c r="V73" i="8"/>
  <c r="W73" i="8"/>
  <c r="Y73" i="8"/>
  <c r="T74" i="8"/>
  <c r="U74" i="8"/>
  <c r="V74" i="8"/>
  <c r="W74" i="8"/>
  <c r="Y74" i="8"/>
  <c r="T75" i="8"/>
  <c r="U75" i="8"/>
  <c r="V75" i="8"/>
  <c r="W75" i="8"/>
  <c r="Y75" i="8"/>
  <c r="T76" i="8"/>
  <c r="U76" i="8"/>
  <c r="V76" i="8"/>
  <c r="W76" i="8"/>
  <c r="Y76" i="8"/>
  <c r="T77" i="8"/>
  <c r="U77" i="8"/>
  <c r="V77" i="8"/>
  <c r="W77" i="8"/>
  <c r="Y77" i="8"/>
  <c r="T78" i="8"/>
  <c r="U78" i="8"/>
  <c r="V78" i="8"/>
  <c r="W78" i="8"/>
  <c r="Y78" i="8"/>
  <c r="T79" i="8"/>
  <c r="U79" i="8"/>
  <c r="V79" i="8"/>
  <c r="W79" i="8"/>
  <c r="Y79" i="8"/>
  <c r="T80" i="8"/>
  <c r="U80" i="8"/>
  <c r="V80" i="8"/>
  <c r="W80" i="8"/>
  <c r="Y80" i="8"/>
  <c r="T81" i="8"/>
  <c r="U81" i="8"/>
  <c r="V81" i="8"/>
  <c r="W81" i="8"/>
  <c r="Y81" i="8"/>
  <c r="T82" i="8"/>
  <c r="U82" i="8"/>
  <c r="V82" i="8"/>
  <c r="W82" i="8"/>
  <c r="Y82" i="8"/>
  <c r="T83" i="8"/>
  <c r="U83" i="8"/>
  <c r="V83" i="8"/>
  <c r="W83" i="8"/>
  <c r="Y83" i="8"/>
  <c r="T84" i="8"/>
  <c r="U84" i="8"/>
  <c r="V84" i="8"/>
  <c r="W84" i="8"/>
  <c r="Y84" i="8"/>
  <c r="T85" i="8"/>
  <c r="U85" i="8"/>
  <c r="V85" i="8"/>
  <c r="W85" i="8"/>
  <c r="Y85" i="8"/>
  <c r="T86" i="8"/>
  <c r="U86" i="8"/>
  <c r="V86" i="8"/>
  <c r="W86" i="8"/>
  <c r="Y86" i="8"/>
  <c r="T87" i="8"/>
  <c r="U87" i="8"/>
  <c r="V87" i="8"/>
  <c r="W87" i="8"/>
  <c r="Y87" i="8"/>
  <c r="T88" i="8"/>
  <c r="U88" i="8"/>
  <c r="V88" i="8"/>
  <c r="W88" i="8"/>
  <c r="Y88" i="8"/>
  <c r="T89" i="8"/>
  <c r="U89" i="8"/>
  <c r="V89" i="8"/>
  <c r="W89" i="8"/>
  <c r="Y89" i="8"/>
  <c r="T90" i="8"/>
  <c r="U90" i="8"/>
  <c r="V90" i="8"/>
  <c r="W90" i="8"/>
  <c r="Y90" i="8"/>
  <c r="T91" i="8"/>
  <c r="U91" i="8"/>
  <c r="V91" i="8"/>
  <c r="W91" i="8"/>
  <c r="Y91" i="8"/>
  <c r="T92" i="8"/>
  <c r="U92" i="8"/>
  <c r="V92" i="8"/>
  <c r="W92" i="8"/>
  <c r="Y92" i="8"/>
  <c r="T93" i="8"/>
  <c r="U93" i="8"/>
  <c r="V93" i="8"/>
  <c r="W93" i="8"/>
  <c r="Y93" i="8"/>
  <c r="T94" i="8"/>
  <c r="U94" i="8"/>
  <c r="V94" i="8"/>
  <c r="W94" i="8"/>
  <c r="Y94" i="8"/>
  <c r="T95" i="8"/>
  <c r="U95" i="8"/>
  <c r="V95" i="8"/>
  <c r="W95" i="8"/>
  <c r="Y95" i="8"/>
  <c r="T96" i="8"/>
  <c r="U96" i="8"/>
  <c r="V96" i="8"/>
  <c r="W96" i="8"/>
  <c r="Y96" i="8"/>
  <c r="T97" i="8"/>
  <c r="U97" i="8"/>
  <c r="V97" i="8"/>
  <c r="W97" i="8"/>
  <c r="Y97" i="8"/>
  <c r="A15" i="18" l="1"/>
  <c r="A5" i="18"/>
  <c r="X17" i="16"/>
  <c r="Z18" i="16"/>
  <c r="AD18" i="16"/>
  <c r="A14" i="18"/>
  <c r="U18" i="16"/>
  <c r="A3" i="18"/>
  <c r="U17" i="16"/>
  <c r="AL17" i="16" s="1"/>
  <c r="A31" i="18" s="1"/>
  <c r="AB18" i="16"/>
  <c r="X18" i="16"/>
  <c r="A19" i="16"/>
  <c r="A33" i="18" s="1"/>
  <c r="AE18" i="16"/>
  <c r="AA18" i="16"/>
  <c r="AL18" i="16" l="1"/>
  <c r="A32" i="18" s="1"/>
  <c r="Y19" i="16"/>
  <c r="U19" i="16"/>
  <c r="Z19" i="16"/>
  <c r="AA19" i="16"/>
  <c r="V19" i="16"/>
  <c r="AC19" i="16"/>
  <c r="AB19" i="16"/>
  <c r="X19" i="16"/>
  <c r="AD19" i="16"/>
  <c r="A20" i="16"/>
  <c r="A34" i="18" s="1"/>
  <c r="AE19" i="16"/>
  <c r="A22" i="18" l="1"/>
  <c r="Y20" i="16"/>
  <c r="U20" i="16"/>
  <c r="Z20" i="16"/>
  <c r="AA20" i="16"/>
  <c r="A21" i="16"/>
  <c r="V20" i="16"/>
  <c r="AC20" i="16"/>
  <c r="AB20" i="16"/>
  <c r="X20" i="16"/>
  <c r="AD20" i="16"/>
  <c r="AE20" i="16"/>
  <c r="AL19" i="16"/>
  <c r="AL20" i="16" l="1"/>
  <c r="Y21" i="16"/>
  <c r="U21" i="16"/>
  <c r="Z21" i="16"/>
  <c r="AA21" i="16"/>
  <c r="V21" i="16"/>
  <c r="AC21" i="16"/>
  <c r="AB21" i="16"/>
  <c r="X21" i="16"/>
  <c r="A22" i="16"/>
  <c r="A36" i="18" s="1"/>
  <c r="AE21" i="16"/>
  <c r="AD21" i="16"/>
  <c r="AL21" i="16" l="1"/>
  <c r="Y22" i="16"/>
  <c r="A23" i="16"/>
  <c r="A37" i="18" s="1"/>
  <c r="U22" i="16"/>
  <c r="Z22" i="16"/>
  <c r="AA22" i="16"/>
  <c r="V22" i="16"/>
  <c r="AC22" i="16"/>
  <c r="AB22" i="16"/>
  <c r="X22" i="16"/>
  <c r="AE22" i="16"/>
  <c r="AD22" i="16"/>
  <c r="U23" i="16" l="1"/>
  <c r="Z23" i="16"/>
  <c r="AA23" i="16"/>
  <c r="V23" i="16"/>
  <c r="AC23" i="16"/>
  <c r="AB23" i="16"/>
  <c r="A24" i="16"/>
  <c r="A38" i="18" s="1"/>
  <c r="X23" i="16"/>
  <c r="AE23" i="16"/>
  <c r="Y23" i="16"/>
  <c r="AD23" i="16"/>
  <c r="AL22" i="16"/>
  <c r="A25" i="16" l="1"/>
  <c r="A39" i="18" s="1"/>
  <c r="U24" i="16"/>
  <c r="Z24" i="16"/>
  <c r="AA24" i="16"/>
  <c r="V24" i="16"/>
  <c r="AC24" i="16"/>
  <c r="AB24" i="16"/>
  <c r="Y24" i="16"/>
  <c r="AD24" i="16"/>
  <c r="AE24" i="16"/>
  <c r="X24" i="16"/>
  <c r="AL23" i="16"/>
  <c r="AL24" i="16" l="1"/>
  <c r="U25" i="16"/>
  <c r="Z25" i="16"/>
  <c r="AA25" i="16"/>
  <c r="V25" i="16"/>
  <c r="AC25" i="16"/>
  <c r="AB25" i="16"/>
  <c r="Y25" i="16"/>
  <c r="A26" i="16"/>
  <c r="A40" i="18" s="1"/>
  <c r="AD25" i="16"/>
  <c r="X25" i="16"/>
  <c r="AE25" i="16"/>
  <c r="A27" i="16" l="1"/>
  <c r="A41" i="18" s="1"/>
  <c r="U26" i="16"/>
  <c r="Z26" i="16"/>
  <c r="AA26" i="16"/>
  <c r="V26" i="16"/>
  <c r="AC26" i="16"/>
  <c r="AB26" i="16"/>
  <c r="Y26" i="16"/>
  <c r="AE26" i="16"/>
  <c r="X26" i="16"/>
  <c r="AD26" i="16"/>
  <c r="AL25" i="16"/>
  <c r="AL26" i="16" l="1"/>
  <c r="U27" i="16"/>
  <c r="Z27" i="16"/>
  <c r="AA27" i="16"/>
  <c r="V27" i="16"/>
  <c r="AC27" i="16"/>
  <c r="AB27" i="16"/>
  <c r="A28" i="16"/>
  <c r="A42" i="18" s="1"/>
  <c r="X27" i="16"/>
  <c r="AE27" i="16"/>
  <c r="Y27" i="16"/>
  <c r="AD27" i="16"/>
  <c r="A29" i="16" l="1"/>
  <c r="A43" i="18" s="1"/>
  <c r="U28" i="16"/>
  <c r="Z28" i="16"/>
  <c r="AA28" i="16"/>
  <c r="V28" i="16"/>
  <c r="AC28" i="16"/>
  <c r="AB28" i="16"/>
  <c r="Y28" i="16"/>
  <c r="AD28" i="16"/>
  <c r="AE28" i="16"/>
  <c r="X28" i="16"/>
  <c r="AL27" i="16"/>
  <c r="AL28" i="16" l="1"/>
  <c r="U29" i="16"/>
  <c r="Z29" i="16"/>
  <c r="AA29" i="16"/>
  <c r="V29" i="16"/>
  <c r="AC29" i="16"/>
  <c r="AB29" i="16"/>
  <c r="Y29" i="16"/>
  <c r="AD29" i="16"/>
  <c r="A30" i="16"/>
  <c r="A44" i="18" s="1"/>
  <c r="X29" i="16"/>
  <c r="AE29" i="16"/>
  <c r="A31" i="16" l="1"/>
  <c r="A45" i="18" s="1"/>
  <c r="U30" i="16"/>
  <c r="Z30" i="16"/>
  <c r="AA30" i="16"/>
  <c r="V30" i="16"/>
  <c r="AC30" i="16"/>
  <c r="AB30" i="16"/>
  <c r="Y30" i="16"/>
  <c r="AE30" i="16"/>
  <c r="X30" i="16"/>
  <c r="AD30" i="16"/>
  <c r="AL29" i="16"/>
  <c r="AL30" i="16" l="1"/>
  <c r="V31" i="16"/>
  <c r="AC31" i="16"/>
  <c r="AB31" i="16"/>
  <c r="A32" i="16"/>
  <c r="A46" i="18" s="1"/>
  <c r="Z31" i="16"/>
  <c r="AE31" i="16"/>
  <c r="AD31" i="16"/>
  <c r="U31" i="16"/>
  <c r="X31" i="16"/>
  <c r="AA31" i="16"/>
  <c r="Y31" i="16"/>
  <c r="AL31" i="16" l="1"/>
  <c r="A33" i="16"/>
  <c r="A47" i="18" s="1"/>
  <c r="V32" i="16"/>
  <c r="AC32" i="16"/>
  <c r="AB32" i="16"/>
  <c r="Y32" i="16"/>
  <c r="AA32" i="16"/>
  <c r="U32" i="16"/>
  <c r="X32" i="16"/>
  <c r="AE32" i="16"/>
  <c r="Z32" i="16"/>
  <c r="AD32" i="16"/>
  <c r="V33" i="16" l="1"/>
  <c r="AC33" i="16"/>
  <c r="AB33" i="16"/>
  <c r="X33" i="16"/>
  <c r="Y33" i="16"/>
  <c r="AA33" i="16"/>
  <c r="Z33" i="16"/>
  <c r="AE33" i="16"/>
  <c r="AD33" i="16"/>
  <c r="A34" i="16"/>
  <c r="A48" i="18" s="1"/>
  <c r="U33" i="16"/>
  <c r="AL32" i="16"/>
  <c r="AL33" i="16" l="1"/>
  <c r="A35" i="16"/>
  <c r="A49" i="18" s="1"/>
  <c r="V34" i="16"/>
  <c r="AC34" i="16"/>
  <c r="AB34" i="16"/>
  <c r="U34" i="16"/>
  <c r="AD34" i="16"/>
  <c r="Y34" i="16"/>
  <c r="AE34" i="16"/>
  <c r="Z34" i="16"/>
  <c r="X34" i="16"/>
  <c r="AA34" i="16"/>
  <c r="AL34" i="16" l="1"/>
  <c r="V35" i="16"/>
  <c r="AC35" i="16"/>
  <c r="AB35" i="16"/>
  <c r="A36" i="16"/>
  <c r="A50" i="18" s="1"/>
  <c r="Z35" i="16"/>
  <c r="AE35" i="16"/>
  <c r="AD35" i="16"/>
  <c r="U35" i="16"/>
  <c r="X35" i="16"/>
  <c r="AA35" i="16"/>
  <c r="Y35" i="16"/>
  <c r="AL35" i="16" l="1"/>
  <c r="A37" i="16"/>
  <c r="A51" i="18" s="1"/>
  <c r="V36" i="16"/>
  <c r="AC36" i="16"/>
  <c r="AB36" i="16"/>
  <c r="Y36" i="16"/>
  <c r="AA36" i="16"/>
  <c r="U36" i="16"/>
  <c r="X36" i="16"/>
  <c r="AE36" i="16"/>
  <c r="Z36" i="16"/>
  <c r="AD36" i="16"/>
  <c r="AL36" i="16" l="1"/>
  <c r="V37" i="16"/>
  <c r="AC37" i="16"/>
  <c r="AB37" i="16"/>
  <c r="X37" i="16"/>
  <c r="A38" i="16"/>
  <c r="A52" i="18" s="1"/>
  <c r="Y37" i="16"/>
  <c r="AA37" i="16"/>
  <c r="Z37" i="16"/>
  <c r="AE37" i="16"/>
  <c r="AD37" i="16"/>
  <c r="U37" i="16"/>
  <c r="AL37" i="16" l="1"/>
  <c r="A39" i="16"/>
  <c r="A53" i="18" s="1"/>
  <c r="U38" i="16"/>
  <c r="Z38" i="16"/>
  <c r="AA38" i="16"/>
  <c r="X38" i="16"/>
  <c r="Y38" i="16"/>
  <c r="AB38" i="16"/>
  <c r="AC38" i="16"/>
  <c r="AE38" i="16"/>
  <c r="V38" i="16"/>
  <c r="AD38" i="16"/>
  <c r="AL38" i="16" l="1"/>
  <c r="A40" i="16"/>
  <c r="A54" i="18" s="1"/>
  <c r="U39" i="16"/>
  <c r="Z39" i="16"/>
  <c r="AA39" i="16"/>
  <c r="V39" i="16"/>
  <c r="AD39" i="16"/>
  <c r="X39" i="16"/>
  <c r="Y39" i="16"/>
  <c r="AB39" i="16"/>
  <c r="AC39" i="16"/>
  <c r="AE39" i="16"/>
  <c r="AL39" i="16" l="1"/>
  <c r="A41" i="16"/>
  <c r="A55" i="18" s="1"/>
  <c r="U40" i="16"/>
  <c r="Z40" i="16"/>
  <c r="AA40" i="16"/>
  <c r="AC40" i="16"/>
  <c r="AE40" i="16"/>
  <c r="V40" i="16"/>
  <c r="AD40" i="16"/>
  <c r="X40" i="16"/>
  <c r="Y40" i="16"/>
  <c r="AB40" i="16"/>
  <c r="AL40" i="16" l="1"/>
  <c r="U41" i="16"/>
  <c r="Z41" i="16"/>
  <c r="AA41" i="16"/>
  <c r="Y41" i="16"/>
  <c r="AB41" i="16"/>
  <c r="A42" i="16"/>
  <c r="A56" i="18" s="1"/>
  <c r="AC41" i="16"/>
  <c r="AE41" i="16"/>
  <c r="V41" i="16"/>
  <c r="AD41" i="16"/>
  <c r="X41" i="16"/>
  <c r="A43" i="16" l="1"/>
  <c r="A57" i="18" s="1"/>
  <c r="U42" i="16"/>
  <c r="Z42" i="16"/>
  <c r="AA42" i="16"/>
  <c r="X42" i="16"/>
  <c r="Y42" i="16"/>
  <c r="AB42" i="16"/>
  <c r="AC42" i="16"/>
  <c r="AE42" i="16"/>
  <c r="V42" i="16"/>
  <c r="AD42" i="16"/>
  <c r="AL41" i="16"/>
  <c r="AL42" i="16" l="1"/>
  <c r="A44" i="16"/>
  <c r="A58" i="18" s="1"/>
  <c r="U43" i="16"/>
  <c r="Z43" i="16"/>
  <c r="AA43" i="16"/>
  <c r="V43" i="16"/>
  <c r="AD43" i="16"/>
  <c r="X43" i="16"/>
  <c r="Y43" i="16"/>
  <c r="AB43" i="16"/>
  <c r="AC43" i="16"/>
  <c r="AE43" i="16"/>
  <c r="A45" i="16" l="1"/>
  <c r="A59" i="18" s="1"/>
  <c r="U44" i="16"/>
  <c r="Z44" i="16"/>
  <c r="AA44" i="16"/>
  <c r="AC44" i="16"/>
  <c r="AE44" i="16"/>
  <c r="V44" i="16"/>
  <c r="AD44" i="16"/>
  <c r="X44" i="16"/>
  <c r="Y44" i="16"/>
  <c r="AB44" i="16"/>
  <c r="AL43" i="16"/>
  <c r="AL44" i="16" l="1"/>
  <c r="U45" i="16"/>
  <c r="Z45" i="16"/>
  <c r="AA45" i="16"/>
  <c r="Y45" i="16"/>
  <c r="AB45" i="16"/>
  <c r="AC45" i="16"/>
  <c r="AE45" i="16"/>
  <c r="A46" i="16"/>
  <c r="A60" i="18" s="1"/>
  <c r="V45" i="16"/>
  <c r="AD45" i="16"/>
  <c r="X45" i="16"/>
  <c r="AL45" i="16" l="1"/>
  <c r="A47" i="16"/>
  <c r="A61" i="18" s="1"/>
  <c r="U46" i="16"/>
  <c r="Z46" i="16"/>
  <c r="AA46" i="16"/>
  <c r="X46" i="16"/>
  <c r="Y46" i="16"/>
  <c r="AB46" i="16"/>
  <c r="AC46" i="16"/>
  <c r="AE46" i="16"/>
  <c r="V46" i="16"/>
  <c r="AD46" i="16"/>
  <c r="A48" i="16" l="1"/>
  <c r="A62" i="18" s="1"/>
  <c r="U47" i="16"/>
  <c r="Z47" i="16"/>
  <c r="AA47" i="16"/>
  <c r="V47" i="16"/>
  <c r="AD47" i="16"/>
  <c r="X47" i="16"/>
  <c r="Y47" i="16"/>
  <c r="AB47" i="16"/>
  <c r="AC47" i="16"/>
  <c r="AE47" i="16"/>
  <c r="AL46" i="16"/>
  <c r="AL47" i="16" l="1"/>
  <c r="A49" i="16"/>
  <c r="A63" i="18" s="1"/>
  <c r="U48" i="16"/>
  <c r="Z48" i="16"/>
  <c r="AA48" i="16"/>
  <c r="AC48" i="16"/>
  <c r="AE48" i="16"/>
  <c r="V48" i="16"/>
  <c r="AD48" i="16"/>
  <c r="X48" i="16"/>
  <c r="AB48" i="16"/>
  <c r="Y48" i="16"/>
  <c r="U49" i="16" l="1"/>
  <c r="Z49" i="16"/>
  <c r="AA49" i="16"/>
  <c r="Y49" i="16"/>
  <c r="AB49" i="16"/>
  <c r="AC49" i="16"/>
  <c r="AE49" i="16"/>
  <c r="V49" i="16"/>
  <c r="AD49" i="16"/>
  <c r="A50" i="16"/>
  <c r="A64" i="18" s="1"/>
  <c r="X49" i="16"/>
  <c r="AL48" i="16"/>
  <c r="A51" i="16" l="1"/>
  <c r="A65" i="18" s="1"/>
  <c r="U50" i="16"/>
  <c r="Z50" i="16"/>
  <c r="AA50" i="16"/>
  <c r="X50" i="16"/>
  <c r="Y50" i="16"/>
  <c r="AB50" i="16"/>
  <c r="AC50" i="16"/>
  <c r="AE50" i="16"/>
  <c r="V50" i="16"/>
  <c r="AD50" i="16"/>
  <c r="AL49" i="16"/>
  <c r="AL50" i="16" l="1"/>
  <c r="A52" i="16"/>
  <c r="A66" i="18" s="1"/>
  <c r="U51" i="16"/>
  <c r="Z51" i="16"/>
  <c r="AA51" i="16"/>
  <c r="V51" i="16"/>
  <c r="AD51" i="16"/>
  <c r="X51" i="16"/>
  <c r="Y51" i="16"/>
  <c r="AB51" i="16"/>
  <c r="AC51" i="16"/>
  <c r="AE51" i="16"/>
  <c r="AL51" i="16" l="1"/>
  <c r="A53" i="16"/>
  <c r="A67" i="18" s="1"/>
  <c r="U52" i="16"/>
  <c r="Z52" i="16"/>
  <c r="AA52" i="16"/>
  <c r="AC52" i="16"/>
  <c r="AE52" i="16"/>
  <c r="V52" i="16"/>
  <c r="AD52" i="16"/>
  <c r="X52" i="16"/>
  <c r="AB52" i="16"/>
  <c r="Y52" i="16"/>
  <c r="AL52" i="16" l="1"/>
  <c r="U53" i="16"/>
  <c r="Z53" i="16"/>
  <c r="AA53" i="16"/>
  <c r="A54" i="16"/>
  <c r="A68" i="18" s="1"/>
  <c r="Y53" i="16"/>
  <c r="AB53" i="16"/>
  <c r="AC53" i="16"/>
  <c r="AE53" i="16"/>
  <c r="V53" i="16"/>
  <c r="AD53" i="16"/>
  <c r="X53" i="16"/>
  <c r="AL53" i="16" l="1"/>
  <c r="A55" i="16"/>
  <c r="A69" i="18" s="1"/>
  <c r="U54" i="16"/>
  <c r="Z54" i="16"/>
  <c r="AA54" i="16"/>
  <c r="X54" i="16"/>
  <c r="Y54" i="16"/>
  <c r="AB54" i="16"/>
  <c r="AC54" i="16"/>
  <c r="AE54" i="16"/>
  <c r="V54" i="16"/>
  <c r="AD54" i="16"/>
  <c r="AL54" i="16" l="1"/>
  <c r="A56" i="16"/>
  <c r="A70" i="18" s="1"/>
  <c r="V55" i="16"/>
  <c r="AC55" i="16"/>
  <c r="AB55" i="16"/>
  <c r="X55" i="16"/>
  <c r="AD55" i="16"/>
  <c r="AE55" i="16"/>
  <c r="U55" i="16"/>
  <c r="AA55" i="16"/>
  <c r="Y55" i="16"/>
  <c r="Z55" i="16"/>
  <c r="AL55" i="16" l="1"/>
  <c r="A57" i="16"/>
  <c r="A71" i="18" s="1"/>
  <c r="V56" i="16"/>
  <c r="AC56" i="16"/>
  <c r="AB56" i="16"/>
  <c r="X56" i="16"/>
  <c r="AD56" i="16"/>
  <c r="AE56" i="16"/>
  <c r="Z56" i="16"/>
  <c r="U56" i="16"/>
  <c r="AA56" i="16"/>
  <c r="Y56" i="16"/>
  <c r="AL56" i="16" l="1"/>
  <c r="A58" i="16"/>
  <c r="A72" i="18" s="1"/>
  <c r="V57" i="16"/>
  <c r="AC57" i="16"/>
  <c r="AB57" i="16"/>
  <c r="X57" i="16"/>
  <c r="AD57" i="16"/>
  <c r="AE57" i="16"/>
  <c r="U57" i="16"/>
  <c r="AA57" i="16"/>
  <c r="Y57" i="16"/>
  <c r="Z57" i="16"/>
  <c r="AL57" i="16" l="1"/>
  <c r="A59" i="16"/>
  <c r="A73" i="18" s="1"/>
  <c r="V58" i="16"/>
  <c r="AC58" i="16"/>
  <c r="AB58" i="16"/>
  <c r="X58" i="16"/>
  <c r="AD58" i="16"/>
  <c r="AE58" i="16"/>
  <c r="Z58" i="16"/>
  <c r="U58" i="16"/>
  <c r="AA58" i="16"/>
  <c r="Y58" i="16"/>
  <c r="AL58" i="16" l="1"/>
  <c r="A60" i="16"/>
  <c r="A74" i="18" s="1"/>
  <c r="V59" i="16"/>
  <c r="AC59" i="16"/>
  <c r="AB59" i="16"/>
  <c r="X59" i="16"/>
  <c r="AD59" i="16"/>
  <c r="AE59" i="16"/>
  <c r="U59" i="16"/>
  <c r="AA59" i="16"/>
  <c r="Y59" i="16"/>
  <c r="Z59" i="16"/>
  <c r="AL59" i="16" l="1"/>
  <c r="A61" i="16"/>
  <c r="A75" i="18" s="1"/>
  <c r="V60" i="16"/>
  <c r="AC60" i="16"/>
  <c r="AB60" i="16"/>
  <c r="X60" i="16"/>
  <c r="AD60" i="16"/>
  <c r="AE60" i="16"/>
  <c r="Z60" i="16"/>
  <c r="U60" i="16"/>
  <c r="AA60" i="16"/>
  <c r="Y60" i="16"/>
  <c r="AL60" i="16" l="1"/>
  <c r="V61" i="16"/>
  <c r="AC61" i="16"/>
  <c r="AB61" i="16"/>
  <c r="A62" i="16"/>
  <c r="A76" i="18" s="1"/>
  <c r="X61" i="16"/>
  <c r="AD61" i="16"/>
  <c r="AE61" i="16"/>
  <c r="U61" i="16"/>
  <c r="AA61" i="16"/>
  <c r="Y61" i="16"/>
  <c r="Z61" i="16"/>
  <c r="AL61" i="16" l="1"/>
  <c r="A63" i="16"/>
  <c r="A77" i="18" s="1"/>
  <c r="V62" i="16"/>
  <c r="AC62" i="16"/>
  <c r="AB62" i="16"/>
  <c r="X62" i="16"/>
  <c r="AD62" i="16"/>
  <c r="AE62" i="16"/>
  <c r="Z62" i="16"/>
  <c r="U62" i="16"/>
  <c r="AA62" i="16"/>
  <c r="Y62" i="16"/>
  <c r="AL62" i="16" l="1"/>
  <c r="A64" i="16"/>
  <c r="A78" i="18" s="1"/>
  <c r="V63" i="16"/>
  <c r="AC63" i="16"/>
  <c r="AB63" i="16"/>
  <c r="X63" i="16"/>
  <c r="AD63" i="16"/>
  <c r="AE63" i="16"/>
  <c r="U63" i="16"/>
  <c r="AA63" i="16"/>
  <c r="Y63" i="16"/>
  <c r="Z63" i="16"/>
  <c r="X64" i="16" l="1"/>
  <c r="AD64" i="16"/>
  <c r="AE64" i="16"/>
  <c r="Y64" i="16"/>
  <c r="AA64" i="16"/>
  <c r="Z64" i="16"/>
  <c r="AB64" i="16"/>
  <c r="U64" i="16"/>
  <c r="AC64" i="16"/>
  <c r="V64" i="16"/>
  <c r="AL63" i="16"/>
  <c r="AL64" i="16" l="1"/>
</calcChain>
</file>

<file path=xl/sharedStrings.xml><?xml version="1.0" encoding="utf-8"?>
<sst xmlns="http://schemas.openxmlformats.org/spreadsheetml/2006/main" count="5103" uniqueCount="1759">
  <si>
    <t>Site</t>
  </si>
  <si>
    <t>LoggerSN</t>
  </si>
  <si>
    <t>SensorSN</t>
  </si>
  <si>
    <t>Sensor Type</t>
  </si>
  <si>
    <t>ValueType</t>
  </si>
  <si>
    <t>ValueUnits</t>
  </si>
  <si>
    <t>ID</t>
  </si>
  <si>
    <t>Deployment Date</t>
  </si>
  <si>
    <t>FieldNumber</t>
  </si>
  <si>
    <t>WCC000</t>
  </si>
  <si>
    <t>LoggerScript</t>
  </si>
  <si>
    <t>TelogOld</t>
  </si>
  <si>
    <t>PressureTransducer</t>
  </si>
  <si>
    <t>??</t>
  </si>
  <si>
    <t>% Full Scale</t>
  </si>
  <si>
    <t>Potentiometer</t>
  </si>
  <si>
    <t>miniTROLL</t>
  </si>
  <si>
    <t>WCC558</t>
  </si>
  <si>
    <t>Temperature</t>
  </si>
  <si>
    <t>Pressure</t>
  </si>
  <si>
    <t>psi</t>
  </si>
  <si>
    <t>Initials</t>
  </si>
  <si>
    <t>SRG</t>
  </si>
  <si>
    <t>Solinst</t>
  </si>
  <si>
    <t>WCC2156</t>
  </si>
  <si>
    <t>Level</t>
  </si>
  <si>
    <t>m</t>
  </si>
  <si>
    <t>Deg C</t>
  </si>
  <si>
    <t>Negative % Full Scale</t>
  </si>
  <si>
    <t>SH</t>
  </si>
  <si>
    <t>Barometric Level</t>
  </si>
  <si>
    <t>WCW367</t>
  </si>
  <si>
    <t>MDG</t>
  </si>
  <si>
    <t>WELL003</t>
  </si>
  <si>
    <t>Deg F</t>
  </si>
  <si>
    <t>WELL042</t>
  </si>
  <si>
    <t>Teloger</t>
  </si>
  <si>
    <t>In-Situ miniTROLL</t>
  </si>
  <si>
    <t>Solinst LevelLogger Gold</t>
  </si>
  <si>
    <t>Solinst BaroLogger Gold</t>
  </si>
  <si>
    <t>Telog 2108</t>
  </si>
  <si>
    <t>Telog WLS31</t>
  </si>
  <si>
    <t>WELL007</t>
  </si>
  <si>
    <t>WELL018</t>
  </si>
  <si>
    <t>WELL014</t>
  </si>
  <si>
    <t>WELL006</t>
  </si>
  <si>
    <t>AdL</t>
  </si>
  <si>
    <t>WELL008</t>
  </si>
  <si>
    <t>Telog 2109e</t>
  </si>
  <si>
    <t>Average</t>
  </si>
  <si>
    <t>Point</t>
  </si>
  <si>
    <t>IntervalUnits</t>
  </si>
  <si>
    <t>min</t>
  </si>
  <si>
    <t>Minimum</t>
  </si>
  <si>
    <t>Maximum</t>
  </si>
  <si>
    <t>3379?</t>
  </si>
  <si>
    <t>3392?</t>
  </si>
  <si>
    <t>Comments</t>
  </si>
  <si>
    <t>Installed for Testing</t>
  </si>
  <si>
    <t>New Sensor</t>
  </si>
  <si>
    <t>Wired Backwards</t>
  </si>
  <si>
    <t>Deployed Time Zone</t>
  </si>
  <si>
    <t>GMT-5:00</t>
  </si>
  <si>
    <t>GMT-4:00</t>
  </si>
  <si>
    <t>LoggerID</t>
  </si>
  <si>
    <t>Datetime</t>
  </si>
  <si>
    <t>UTC Offset</t>
  </si>
  <si>
    <t>Value1…</t>
  </si>
  <si>
    <t>SiteID</t>
  </si>
  <si>
    <t>SiteName</t>
  </si>
  <si>
    <t>LoggerName</t>
  </si>
  <si>
    <t>SensorName</t>
  </si>
  <si>
    <t>LoggerManufacturer</t>
  </si>
  <si>
    <t>PurchaseDate</t>
  </si>
  <si>
    <t>LoggerModel</t>
  </si>
  <si>
    <t>LoggerSerialNumber</t>
  </si>
  <si>
    <t>Sensor Manufacturer</t>
  </si>
  <si>
    <t>Sensor Model</t>
  </si>
  <si>
    <t>DeploymentID</t>
  </si>
  <si>
    <t>Telog</t>
  </si>
  <si>
    <t>In-Situ</t>
  </si>
  <si>
    <t>Logger Manufacturer</t>
  </si>
  <si>
    <t>Sensor Manufacturer/Model</t>
  </si>
  <si>
    <t>SamplingInterval (Spacing)</t>
  </si>
  <si>
    <t>X-Offset</t>
  </si>
  <si>
    <t>Z-Offset</t>
  </si>
  <si>
    <t>OffsetUnits</t>
  </si>
  <si>
    <t>PersonID</t>
  </si>
  <si>
    <t>Data Type (min/max/avg)</t>
  </si>
  <si>
    <t>Value9999</t>
  </si>
  <si>
    <t>PLEASE NOTE:  THIS IS NOT THE REAL SITE TABLE!!!!!!</t>
  </si>
  <si>
    <t>BaroLogger Gold</t>
  </si>
  <si>
    <t>LevelLogger Gold</t>
  </si>
  <si>
    <t>2108 (Potentiometric)</t>
  </si>
  <si>
    <t>2109e (Pressure)</t>
  </si>
  <si>
    <t>WLS31</t>
  </si>
  <si>
    <t>Onset</t>
  </si>
  <si>
    <t>U20-001-01</t>
  </si>
  <si>
    <t>ML</t>
  </si>
  <si>
    <t>SOBARO</t>
  </si>
  <si>
    <t>SOLEVL</t>
  </si>
  <si>
    <t>T8</t>
  </si>
  <si>
    <t>TG</t>
  </si>
  <si>
    <t>TR</t>
  </si>
  <si>
    <t>HO</t>
  </si>
  <si>
    <t>3379/2211</t>
  </si>
  <si>
    <t>kPa</t>
  </si>
  <si>
    <t>Absolute Pressure</t>
  </si>
  <si>
    <t>Host Connected</t>
  </si>
  <si>
    <t>End of File</t>
  </si>
  <si>
    <t>MediumType (water/soil/air)</t>
  </si>
  <si>
    <t>Winsitu</t>
  </si>
  <si>
    <t>TimeSuppport Value</t>
  </si>
  <si>
    <t>Water</t>
  </si>
  <si>
    <t>VariableID</t>
  </si>
  <si>
    <t>VariableName</t>
  </si>
  <si>
    <t>Value Order Number</t>
  </si>
  <si>
    <t>ValueID</t>
  </si>
  <si>
    <t>Value</t>
  </si>
  <si>
    <t>UTCOffset</t>
  </si>
  <si>
    <t>-4:00</t>
  </si>
  <si>
    <t>-5:00</t>
  </si>
  <si>
    <t>LoggerScript File</t>
  </si>
  <si>
    <t>Levellogger 3.2.1</t>
  </si>
  <si>
    <t>Air</t>
  </si>
  <si>
    <t>New cables</t>
  </si>
  <si>
    <t>Wired upside down!</t>
  </si>
  <si>
    <t>Re-wired</t>
  </si>
  <si>
    <t>Telog-DOS</t>
  </si>
  <si>
    <t>Teloger for Windows</t>
  </si>
  <si>
    <t>YM</t>
  </si>
  <si>
    <t>SDH</t>
  </si>
  <si>
    <t>UnitsID</t>
  </si>
  <si>
    <t>Categorical</t>
  </si>
  <si>
    <t>Y-Offset</t>
  </si>
  <si>
    <t>DateTime</t>
  </si>
  <si>
    <t>Term</t>
  </si>
  <si>
    <t>Definition</t>
  </si>
  <si>
    <t>The values represent the average over a time interval, such as daily mean discharge or daily mean temperature.</t>
  </si>
  <si>
    <t>Best Easy Systematic Estimator</t>
  </si>
  <si>
    <t>Best Easy Systematic Estimator BES = (Q1 +2Q2 +Q3)/4. Q1, Q2, and Q3 are first, second, and third quartiles. See Woodcock, F. and Engel, C., 2005: Operational Consensus Forecasts.Weather and Forecasting, 20, 101-111. (http://www.bom.gov.au/nmoc/bulletins/60/article_by_Woodcock_in_Weather_and_Forecasting.pdf) and Wonnacott, T. H., and R. J. Wonnacott, 1972: Introductory Statistics. Wiley, 510 pp.</t>
  </si>
  <si>
    <t>The values are categorical rather than continuous valued quantities. Mapping from Value values to categories is through the CategoryDefinitions table.</t>
  </si>
  <si>
    <t>Constant Over Interval</t>
  </si>
  <si>
    <t>The values are quantities that can be interpreted as constant over the time interval from the previous measurement.</t>
  </si>
  <si>
    <t>Continuous</t>
  </si>
  <si>
    <t>A quantity specified at a particular instant in time measured with sufficient frequency (small spacing) to be interpreted as a continuous record of the phenomenon.</t>
  </si>
  <si>
    <t>Cumulative</t>
  </si>
  <si>
    <t>The values represent the cumulative value of a variable measured or calculated up to a given instant of time, such as cumulative volume of flow or cumulative precipitation.</t>
  </si>
  <si>
    <t>Incremental</t>
  </si>
  <si>
    <t>The values represent the incremental value of a variable over a time interval, such as the incremental volume of flow or incremental precipitation.</t>
  </si>
  <si>
    <t>The values are the maximum values occurring at some time during a time interval, such as annual maximum discharge or a daily maximum air temperature.</t>
  </si>
  <si>
    <t>Median</t>
  </si>
  <si>
    <t>The values represent the median over a time interval, such as daily median discharge or daily median temperature.</t>
  </si>
  <si>
    <t>The values are the minimum values occurring at some time during a time interval, such as 7-day low flow for a year or the daily minimum temperature.</t>
  </si>
  <si>
    <t>Mode</t>
  </si>
  <si>
    <t>The values are the most frequent values occurring at some time during a time interval, such as annual most frequent wind direction.</t>
  </si>
  <si>
    <t>Sporadic</t>
  </si>
  <si>
    <t>The phenomenon is sampled at a particular instant in time but with a frequency that is too coarse for interpreting the record as continuous. This would be the case when the spacing is significantly larger than the support and the time scale of fluctuation of the phenomenon, such as for example infrequent water quality samples.</t>
  </si>
  <si>
    <t>StandardDeviation</t>
  </si>
  <si>
    <t>The values represent the standard deviation of a set of observations made over a time interval. Standard deviation computed using the unbiased formula SQRT(SUM((Xi-mean)^2)/(n-1)) are preferred. The specific formula used to compute variance can be noted in the methods description.</t>
  </si>
  <si>
    <t>Unknown</t>
  </si>
  <si>
    <t>The data type is unknown</t>
  </si>
  <si>
    <t>Variance</t>
  </si>
  <si>
    <t>The values represent the variance of a set of observations made over a time interval. Variance computed using the unbiased formula SUM((Xi-mean)^2)/(n-1) are preferred. The specific formula used to compute variance can be noted in the methods description.</t>
  </si>
  <si>
    <t>UnitsName</t>
  </si>
  <si>
    <t>UnitsType</t>
  </si>
  <si>
    <t>UnitsAbbreviation</t>
  </si>
  <si>
    <t>percent</t>
  </si>
  <si>
    <t>Dimensionless</t>
  </si>
  <si>
    <t>%</t>
  </si>
  <si>
    <t>degree</t>
  </si>
  <si>
    <t>Angle</t>
  </si>
  <si>
    <t>deg</t>
  </si>
  <si>
    <t>grad</t>
  </si>
  <si>
    <t>radian</t>
  </si>
  <si>
    <t>rad</t>
  </si>
  <si>
    <t>degree north</t>
  </si>
  <si>
    <t>degN</t>
  </si>
  <si>
    <t>degree south</t>
  </si>
  <si>
    <t>degS</t>
  </si>
  <si>
    <t>degree west</t>
  </si>
  <si>
    <t>degW</t>
  </si>
  <si>
    <t>degree east</t>
  </si>
  <si>
    <t>degE</t>
  </si>
  <si>
    <t>arcminute</t>
  </si>
  <si>
    <t>arcmin</t>
  </si>
  <si>
    <t>arcsecond</t>
  </si>
  <si>
    <t>arcsec</t>
  </si>
  <si>
    <t>steradian</t>
  </si>
  <si>
    <t>sr</t>
  </si>
  <si>
    <t>acre</t>
  </si>
  <si>
    <t>Area</t>
  </si>
  <si>
    <t>ac</t>
  </si>
  <si>
    <t>hectare</t>
  </si>
  <si>
    <t>ha</t>
  </si>
  <si>
    <t>square centimeter</t>
  </si>
  <si>
    <t>cm2</t>
  </si>
  <si>
    <t>square foot</t>
  </si>
  <si>
    <t>ft2</t>
  </si>
  <si>
    <t>square kilometer</t>
  </si>
  <si>
    <t>km2</t>
  </si>
  <si>
    <t>square meter</t>
  </si>
  <si>
    <t>m2</t>
  </si>
  <si>
    <t>square mile</t>
  </si>
  <si>
    <t>mi2</t>
  </si>
  <si>
    <t>hertz</t>
  </si>
  <si>
    <t>Frequency</t>
  </si>
  <si>
    <t>Hz</t>
  </si>
  <si>
    <t>darcy</t>
  </si>
  <si>
    <t>Permeability</t>
  </si>
  <si>
    <t>D</t>
  </si>
  <si>
    <t>british thermal unit</t>
  </si>
  <si>
    <t>Energy</t>
  </si>
  <si>
    <t>BTU</t>
  </si>
  <si>
    <t>calorie</t>
  </si>
  <si>
    <t>cal</t>
  </si>
  <si>
    <t>erg</t>
  </si>
  <si>
    <t>foot pound force</t>
  </si>
  <si>
    <t>lbf ft</t>
  </si>
  <si>
    <t>joule</t>
  </si>
  <si>
    <t>J</t>
  </si>
  <si>
    <t>kilowatt hour</t>
  </si>
  <si>
    <t>kW hr</t>
  </si>
  <si>
    <t>electronvolt</t>
  </si>
  <si>
    <t>eV</t>
  </si>
  <si>
    <t>langleys per day</t>
  </si>
  <si>
    <t>Energy Flux</t>
  </si>
  <si>
    <t>Ly/d</t>
  </si>
  <si>
    <t>langleys per minute</t>
  </si>
  <si>
    <t>Ly/min</t>
  </si>
  <si>
    <t>langleys per second</t>
  </si>
  <si>
    <t>Ly/s</t>
  </si>
  <si>
    <t>megajoules per square meter per day</t>
  </si>
  <si>
    <t>MJ/m2 d</t>
  </si>
  <si>
    <t>watts per square centimeter</t>
  </si>
  <si>
    <t>W/cm2</t>
  </si>
  <si>
    <t>watts per square meter</t>
  </si>
  <si>
    <t>W/m2</t>
  </si>
  <si>
    <t>acre feet per year</t>
  </si>
  <si>
    <t>Flow</t>
  </si>
  <si>
    <t>ac ft/yr</t>
  </si>
  <si>
    <t>cubic feet per second</t>
  </si>
  <si>
    <t>cfs</t>
  </si>
  <si>
    <t>cubic meters per second</t>
  </si>
  <si>
    <t>m3/s</t>
  </si>
  <si>
    <t>cubic meters per day</t>
  </si>
  <si>
    <t>m3/d</t>
  </si>
  <si>
    <t>gallons per minute</t>
  </si>
  <si>
    <t>gpm</t>
  </si>
  <si>
    <t>liters per second</t>
  </si>
  <si>
    <t>L/s</t>
  </si>
  <si>
    <t>million gallons per day</t>
  </si>
  <si>
    <t>MGD</t>
  </si>
  <si>
    <t>dyne</t>
  </si>
  <si>
    <t>Force</t>
  </si>
  <si>
    <t>dyn</t>
  </si>
  <si>
    <t>kilogram force</t>
  </si>
  <si>
    <t>kgf</t>
  </si>
  <si>
    <t>newton</t>
  </si>
  <si>
    <t>N</t>
  </si>
  <si>
    <t>pound force</t>
  </si>
  <si>
    <t>lbf</t>
  </si>
  <si>
    <t>kilo pound force</t>
  </si>
  <si>
    <t>kip</t>
  </si>
  <si>
    <t>ounce force</t>
  </si>
  <si>
    <t>ozf</t>
  </si>
  <si>
    <t>centimeter</t>
  </si>
  <si>
    <t>Length</t>
  </si>
  <si>
    <t>cm</t>
  </si>
  <si>
    <t>international foot</t>
  </si>
  <si>
    <t>ft</t>
  </si>
  <si>
    <t>international inch</t>
  </si>
  <si>
    <t>in</t>
  </si>
  <si>
    <t>international yard</t>
  </si>
  <si>
    <t>yd</t>
  </si>
  <si>
    <t>kilometer</t>
  </si>
  <si>
    <t>km</t>
  </si>
  <si>
    <t>meter</t>
  </si>
  <si>
    <t>international mile</t>
  </si>
  <si>
    <t>mi</t>
  </si>
  <si>
    <t>millimeter</t>
  </si>
  <si>
    <t>mm</t>
  </si>
  <si>
    <t>micron</t>
  </si>
  <si>
    <t>um</t>
  </si>
  <si>
    <t>angstrom</t>
  </si>
  <si>
    <t>Ã…</t>
  </si>
  <si>
    <t>femtometer</t>
  </si>
  <si>
    <t>fm</t>
  </si>
  <si>
    <t>nautical mile</t>
  </si>
  <si>
    <t>nmi</t>
  </si>
  <si>
    <t>lumen</t>
  </si>
  <si>
    <t>Light</t>
  </si>
  <si>
    <t>lm</t>
  </si>
  <si>
    <t>lux</t>
  </si>
  <si>
    <t>lx</t>
  </si>
  <si>
    <t>lambert</t>
  </si>
  <si>
    <t>La</t>
  </si>
  <si>
    <t>stilb</t>
  </si>
  <si>
    <t>sb</t>
  </si>
  <si>
    <t>phot</t>
  </si>
  <si>
    <t>ph</t>
  </si>
  <si>
    <t>langley</t>
  </si>
  <si>
    <t>Ly</t>
  </si>
  <si>
    <t>gram</t>
  </si>
  <si>
    <t>Mass</t>
  </si>
  <si>
    <t>g</t>
  </si>
  <si>
    <t>kilogram</t>
  </si>
  <si>
    <t>kg</t>
  </si>
  <si>
    <t>milligram</t>
  </si>
  <si>
    <t>mg</t>
  </si>
  <si>
    <t>microgram</t>
  </si>
  <si>
    <t>ug</t>
  </si>
  <si>
    <t>pound mass (avoirdupois)</t>
  </si>
  <si>
    <t>lb</t>
  </si>
  <si>
    <t>slug</t>
  </si>
  <si>
    <t>metric ton</t>
  </si>
  <si>
    <t>tonne</t>
  </si>
  <si>
    <t>grain</t>
  </si>
  <si>
    <t>carat</t>
  </si>
  <si>
    <t>car</t>
  </si>
  <si>
    <t>atomic mass unit</t>
  </si>
  <si>
    <t>amu</t>
  </si>
  <si>
    <t>short ton</t>
  </si>
  <si>
    <t>ton</t>
  </si>
  <si>
    <t>BTU per hour</t>
  </si>
  <si>
    <t>Power</t>
  </si>
  <si>
    <t>BTU/hr</t>
  </si>
  <si>
    <t>foot pound force per second</t>
  </si>
  <si>
    <t>lbf/s</t>
  </si>
  <si>
    <t>horse power (shaft)</t>
  </si>
  <si>
    <t>hp</t>
  </si>
  <si>
    <t>kilowatt</t>
  </si>
  <si>
    <t>kW</t>
  </si>
  <si>
    <t>watt</t>
  </si>
  <si>
    <t>W</t>
  </si>
  <si>
    <t>voltampere</t>
  </si>
  <si>
    <t>VA</t>
  </si>
  <si>
    <t>atmospheres</t>
  </si>
  <si>
    <t>Pressure/Stress</t>
  </si>
  <si>
    <t>atm</t>
  </si>
  <si>
    <t>pascal</t>
  </si>
  <si>
    <t>Pa</t>
  </si>
  <si>
    <t>inch of mercury</t>
  </si>
  <si>
    <t>inch Hg</t>
  </si>
  <si>
    <t>inch of water</t>
  </si>
  <si>
    <t>inch H2O</t>
  </si>
  <si>
    <t>millimeter of mercury</t>
  </si>
  <si>
    <t>mm Hg</t>
  </si>
  <si>
    <t>millimeter of water</t>
  </si>
  <si>
    <t>mm H2O</t>
  </si>
  <si>
    <t>centimeter of mercury</t>
  </si>
  <si>
    <t>cm Hg</t>
  </si>
  <si>
    <t>centimeter of water</t>
  </si>
  <si>
    <t>cm H2O</t>
  </si>
  <si>
    <t>millibar</t>
  </si>
  <si>
    <t>mbar</t>
  </si>
  <si>
    <t>pound force per square inch</t>
  </si>
  <si>
    <t>torr</t>
  </si>
  <si>
    <t>barie</t>
  </si>
  <si>
    <t>meters per pixel</t>
  </si>
  <si>
    <t>Resolution</t>
  </si>
  <si>
    <t>meters per meter</t>
  </si>
  <si>
    <t>Scale</t>
  </si>
  <si>
    <t>-</t>
  </si>
  <si>
    <t>degree celsius</t>
  </si>
  <si>
    <t>degC</t>
  </si>
  <si>
    <t>degree fahrenheit</t>
  </si>
  <si>
    <t>degF</t>
  </si>
  <si>
    <t>degree rankine</t>
  </si>
  <si>
    <t>degR</t>
  </si>
  <si>
    <t>degree kelvin</t>
  </si>
  <si>
    <t>degK</t>
  </si>
  <si>
    <t>second</t>
  </si>
  <si>
    <t>Time</t>
  </si>
  <si>
    <t>s</t>
  </si>
  <si>
    <t>millisecond</t>
  </si>
  <si>
    <t>millisec</t>
  </si>
  <si>
    <t>minute</t>
  </si>
  <si>
    <t>hour</t>
  </si>
  <si>
    <t>hr</t>
  </si>
  <si>
    <t>day</t>
  </si>
  <si>
    <t>d</t>
  </si>
  <si>
    <t>week</t>
  </si>
  <si>
    <t>month</t>
  </si>
  <si>
    <t>common year (365 days)</t>
  </si>
  <si>
    <t>yr</t>
  </si>
  <si>
    <t>leap year (366 days)</t>
  </si>
  <si>
    <t>leap yr</t>
  </si>
  <si>
    <t>Julian year (365.25 days)</t>
  </si>
  <si>
    <t>jul yr</t>
  </si>
  <si>
    <t>Gregorian year (365.2425 days)</t>
  </si>
  <si>
    <t>greg yr</t>
  </si>
  <si>
    <t>centimeters per hour</t>
  </si>
  <si>
    <t>Velocity</t>
  </si>
  <si>
    <t>cm/hr</t>
  </si>
  <si>
    <t>centimeters per second</t>
  </si>
  <si>
    <t>cm/s</t>
  </si>
  <si>
    <t>feet per second</t>
  </si>
  <si>
    <t>ft/s</t>
  </si>
  <si>
    <t>gallons per day per square foot</t>
  </si>
  <si>
    <t>gpd/ft2</t>
  </si>
  <si>
    <t>inches per hour</t>
  </si>
  <si>
    <t>in/hr</t>
  </si>
  <si>
    <t>kilometers per hour</t>
  </si>
  <si>
    <t>km/h</t>
  </si>
  <si>
    <t>meters per day</t>
  </si>
  <si>
    <t>m/d</t>
  </si>
  <si>
    <t>meters per hour</t>
  </si>
  <si>
    <t>m/hr</t>
  </si>
  <si>
    <t>meters per second</t>
  </si>
  <si>
    <t>m/s</t>
  </si>
  <si>
    <t>miles per hour</t>
  </si>
  <si>
    <t>mph</t>
  </si>
  <si>
    <t>millimeters per hour</t>
  </si>
  <si>
    <t>mm/hr</t>
  </si>
  <si>
    <t>nautical mile per hour</t>
  </si>
  <si>
    <t>knot</t>
  </si>
  <si>
    <t>acre foot</t>
  </si>
  <si>
    <t>Volume</t>
  </si>
  <si>
    <t>ac ft</t>
  </si>
  <si>
    <t>cubic centimeter</t>
  </si>
  <si>
    <t>cc</t>
  </si>
  <si>
    <t>cubic foot</t>
  </si>
  <si>
    <t>ft3</t>
  </si>
  <si>
    <t>cubic meter</t>
  </si>
  <si>
    <t>m3</t>
  </si>
  <si>
    <t>hectare meter</t>
  </si>
  <si>
    <t>hec m</t>
  </si>
  <si>
    <t>liter</t>
  </si>
  <si>
    <t>L</t>
  </si>
  <si>
    <t>US gallon</t>
  </si>
  <si>
    <t>gal</t>
  </si>
  <si>
    <t>barrel</t>
  </si>
  <si>
    <t>bbl</t>
  </si>
  <si>
    <t>pint</t>
  </si>
  <si>
    <t>pt</t>
  </si>
  <si>
    <t>bushel</t>
  </si>
  <si>
    <t>bu</t>
  </si>
  <si>
    <t>teaspoon</t>
  </si>
  <si>
    <t>tsp</t>
  </si>
  <si>
    <t>tablespoon</t>
  </si>
  <si>
    <t>tbsp</t>
  </si>
  <si>
    <t>quart</t>
  </si>
  <si>
    <t>qrt</t>
  </si>
  <si>
    <t>ounce</t>
  </si>
  <si>
    <t>oz</t>
  </si>
  <si>
    <t>dimensionless</t>
  </si>
  <si>
    <t>mega joule</t>
  </si>
  <si>
    <t>MJ</t>
  </si>
  <si>
    <t>degrees minutes seconds</t>
  </si>
  <si>
    <t>dddmmss</t>
  </si>
  <si>
    <t>calories per square centimeter per day</t>
  </si>
  <si>
    <t>cal/cm2 d</t>
  </si>
  <si>
    <t>calories per square centimeter per minute</t>
  </si>
  <si>
    <t>cal/cm2 min</t>
  </si>
  <si>
    <t>milliliters per square centimeter per day</t>
  </si>
  <si>
    <t>Hyporheic flux</t>
  </si>
  <si>
    <t>ml/cm2 d</t>
  </si>
  <si>
    <t>micromoles of photons per square meter per second</t>
  </si>
  <si>
    <t>Photon Flux</t>
  </si>
  <si>
    <t>umol/m2 s</t>
  </si>
  <si>
    <t>megajoules per square meter</t>
  </si>
  <si>
    <t>Energy per Area</t>
  </si>
  <si>
    <t>MJ/m2</t>
  </si>
  <si>
    <t>gallons per day</t>
  </si>
  <si>
    <t>gpd</t>
  </si>
  <si>
    <t>million gallons per month</t>
  </si>
  <si>
    <t>MGM</t>
  </si>
  <si>
    <t>million gallons per year</t>
  </si>
  <si>
    <t>MGY</t>
  </si>
  <si>
    <t>short tons per day per foot</t>
  </si>
  <si>
    <t>Mass flow per unit width</t>
  </si>
  <si>
    <t>ton/d ft</t>
  </si>
  <si>
    <t>lumens per square foot</t>
  </si>
  <si>
    <t>Light Intensity</t>
  </si>
  <si>
    <t>lm/ft2</t>
  </si>
  <si>
    <t>microeinsteins per square meter per second</t>
  </si>
  <si>
    <t>uE/m2 s</t>
  </si>
  <si>
    <t>alphas per meter</t>
  </si>
  <si>
    <t>a/m</t>
  </si>
  <si>
    <t>microeinsteins per square meter</t>
  </si>
  <si>
    <t>uE/m2</t>
  </si>
  <si>
    <t>millimoles of photons per square meter</t>
  </si>
  <si>
    <t>mmol/m2</t>
  </si>
  <si>
    <t>absorbance per centimeter</t>
  </si>
  <si>
    <t>Extinction/Absorbance</t>
  </si>
  <si>
    <t>A/cm</t>
  </si>
  <si>
    <t>nanogram</t>
  </si>
  <si>
    <t>ng</t>
  </si>
  <si>
    <t>picogram</t>
  </si>
  <si>
    <t>pg</t>
  </si>
  <si>
    <t>milliequivalents</t>
  </si>
  <si>
    <t>meq</t>
  </si>
  <si>
    <t>grams per square meter</t>
  </si>
  <si>
    <t>Areal Density</t>
  </si>
  <si>
    <t>g/m2</t>
  </si>
  <si>
    <t>milligrams per square meter</t>
  </si>
  <si>
    <t>mg/m2</t>
  </si>
  <si>
    <t>micrograms per square meter</t>
  </si>
  <si>
    <t>ug/m2</t>
  </si>
  <si>
    <t>grams per square meter per day</t>
  </si>
  <si>
    <t>Areal Loading</t>
  </si>
  <si>
    <t>g/m2 d</t>
  </si>
  <si>
    <t>grams per day</t>
  </si>
  <si>
    <t>Loading</t>
  </si>
  <si>
    <t>g/d</t>
  </si>
  <si>
    <t>pounds per day</t>
  </si>
  <si>
    <t>lb/d</t>
  </si>
  <si>
    <t>pounds per mile</t>
  </si>
  <si>
    <t>lb/mi</t>
  </si>
  <si>
    <t>short tons per day</t>
  </si>
  <si>
    <t>ton/d</t>
  </si>
  <si>
    <t>milligrams per cubic meter per day</t>
  </si>
  <si>
    <t>Productivity</t>
  </si>
  <si>
    <t>mg/m3 d</t>
  </si>
  <si>
    <t>milligrams per square meter per day</t>
  </si>
  <si>
    <t>mg/m2 d</t>
  </si>
  <si>
    <t>volts</t>
  </si>
  <si>
    <t>Potential Difference</t>
  </si>
  <si>
    <t>V</t>
  </si>
  <si>
    <t>millivolts</t>
  </si>
  <si>
    <t>mV</t>
  </si>
  <si>
    <t>kilopascal</t>
  </si>
  <si>
    <t>megapascal</t>
  </si>
  <si>
    <t>MPa</t>
  </si>
  <si>
    <t>becquerel</t>
  </si>
  <si>
    <t>Radioactivity</t>
  </si>
  <si>
    <t>Bq</t>
  </si>
  <si>
    <t>becquerels per gram</t>
  </si>
  <si>
    <t>Bq/g</t>
  </si>
  <si>
    <t>curie</t>
  </si>
  <si>
    <t>Ci</t>
  </si>
  <si>
    <t>picocurie</t>
  </si>
  <si>
    <t>pCi</t>
  </si>
  <si>
    <t>ohm</t>
  </si>
  <si>
    <t>Resistance</t>
  </si>
  <si>
    <t>ohm meter</t>
  </si>
  <si>
    <t>Resistivity</t>
  </si>
  <si>
    <t>ohm m</t>
  </si>
  <si>
    <t>picocuries per gram</t>
  </si>
  <si>
    <t>Specific Activity</t>
  </si>
  <si>
    <t>pCi/g</t>
  </si>
  <si>
    <t>picocuries per liter</t>
  </si>
  <si>
    <t>pCi/L</t>
  </si>
  <si>
    <t>picocuries per milliliter</t>
  </si>
  <si>
    <t>pCi/ml</t>
  </si>
  <si>
    <t>hour minute</t>
  </si>
  <si>
    <t>hhmm</t>
  </si>
  <si>
    <t>year month day</t>
  </si>
  <si>
    <t>yymmdd</t>
  </si>
  <si>
    <t>year day (Julian)</t>
  </si>
  <si>
    <t>yyddd</t>
  </si>
  <si>
    <t>inches per day</t>
  </si>
  <si>
    <t>in/d</t>
  </si>
  <si>
    <t>inches per week</t>
  </si>
  <si>
    <t>in/week</t>
  </si>
  <si>
    <t>inches per storm</t>
  </si>
  <si>
    <t>Precipitation</t>
  </si>
  <si>
    <t>in/storm</t>
  </si>
  <si>
    <t>thousand acre feet</t>
  </si>
  <si>
    <t>10^3 ac ft</t>
  </si>
  <si>
    <t>milliliter</t>
  </si>
  <si>
    <t>ml</t>
  </si>
  <si>
    <t>cubic feet per second days</t>
  </si>
  <si>
    <t>cfs d</t>
  </si>
  <si>
    <t>thousand gallons</t>
  </si>
  <si>
    <t>10^3 gal</t>
  </si>
  <si>
    <t>million gallons</t>
  </si>
  <si>
    <t>10^6 gal</t>
  </si>
  <si>
    <t>microsiemens per centimeter</t>
  </si>
  <si>
    <t>Electrical Conductivity</t>
  </si>
  <si>
    <t>uS/cm</t>
  </si>
  <si>
    <t>practical salinity units</t>
  </si>
  <si>
    <t>Salinity</t>
  </si>
  <si>
    <t>psu</t>
  </si>
  <si>
    <t>decibel</t>
  </si>
  <si>
    <t>Sound</t>
  </si>
  <si>
    <t>dB</t>
  </si>
  <si>
    <t>cubic centimeters per gram</t>
  </si>
  <si>
    <t>Specific Volume</t>
  </si>
  <si>
    <t>cm3/g</t>
  </si>
  <si>
    <t>square meters per gram</t>
  </si>
  <si>
    <t>Specific Surface Area</t>
  </si>
  <si>
    <t>m2/g</t>
  </si>
  <si>
    <t>short tons per acre foot</t>
  </si>
  <si>
    <t>Concentration</t>
  </si>
  <si>
    <t>ton/ac ft</t>
  </si>
  <si>
    <t>grams per cubic centimeter</t>
  </si>
  <si>
    <t>g/cm3</t>
  </si>
  <si>
    <t>milligrams per liter</t>
  </si>
  <si>
    <t>mg/L</t>
  </si>
  <si>
    <t>nanograms per cubic meter</t>
  </si>
  <si>
    <t>ng/m3</t>
  </si>
  <si>
    <t>nanograms per liter</t>
  </si>
  <si>
    <t>ng/L</t>
  </si>
  <si>
    <t>grams per liter</t>
  </si>
  <si>
    <t>g/L</t>
  </si>
  <si>
    <t>micrograms per cubic meter</t>
  </si>
  <si>
    <t>ug/m3</t>
  </si>
  <si>
    <t>micrograms per liter</t>
  </si>
  <si>
    <t>ug/L</t>
  </si>
  <si>
    <t>parts per million</t>
  </si>
  <si>
    <t>ppm</t>
  </si>
  <si>
    <t>parts per billion</t>
  </si>
  <si>
    <t>ppb</t>
  </si>
  <si>
    <t>parts per trillion</t>
  </si>
  <si>
    <t>ppt</t>
  </si>
  <si>
    <t>parts per quintillion</t>
  </si>
  <si>
    <t>ppqt</t>
  </si>
  <si>
    <t>parts per quadrillion</t>
  </si>
  <si>
    <t>ppq</t>
  </si>
  <si>
    <t>per mille</t>
  </si>
  <si>
    <t>%o</t>
  </si>
  <si>
    <t>microequivalents per liter</t>
  </si>
  <si>
    <t>ueq/L</t>
  </si>
  <si>
    <t>milliequivalents per liter</t>
  </si>
  <si>
    <t>meq/L</t>
  </si>
  <si>
    <t>milliequivalents per 100 gram</t>
  </si>
  <si>
    <t>meq/100 g</t>
  </si>
  <si>
    <t>milliosmols per kilogram</t>
  </si>
  <si>
    <t>mOsm/kg</t>
  </si>
  <si>
    <t>nanomoles per liter</t>
  </si>
  <si>
    <t>nmol/L</t>
  </si>
  <si>
    <t>picograms per cubic meter</t>
  </si>
  <si>
    <t>pg/m3</t>
  </si>
  <si>
    <t>picograms per liter</t>
  </si>
  <si>
    <t>pg/L</t>
  </si>
  <si>
    <t>picograms per milliliter</t>
  </si>
  <si>
    <t>pg/ml</t>
  </si>
  <si>
    <t>tritium units</t>
  </si>
  <si>
    <t>TU</t>
  </si>
  <si>
    <t>jackson turbidity units</t>
  </si>
  <si>
    <t>Turbidity</t>
  </si>
  <si>
    <t>JTU</t>
  </si>
  <si>
    <t>nephelometric turbidity units</t>
  </si>
  <si>
    <t>NTU</t>
  </si>
  <si>
    <t>nephelometric turbidity multibeam unit</t>
  </si>
  <si>
    <t>NTMU</t>
  </si>
  <si>
    <t>nephelometric turbidity ratio unit</t>
  </si>
  <si>
    <t>NTRU</t>
  </si>
  <si>
    <t>formazin nephelometric multibeam unit</t>
  </si>
  <si>
    <t>FNMU</t>
  </si>
  <si>
    <t>formazin nephelometric ratio unit</t>
  </si>
  <si>
    <t>FNRU</t>
  </si>
  <si>
    <t>formazin nephelometric unit</t>
  </si>
  <si>
    <t>FNU</t>
  </si>
  <si>
    <t>formazin attenuation unit</t>
  </si>
  <si>
    <t>FAU</t>
  </si>
  <si>
    <t>formazin backscatter unit</t>
  </si>
  <si>
    <t>FBU</t>
  </si>
  <si>
    <t>backscatter units</t>
  </si>
  <si>
    <t>BU</t>
  </si>
  <si>
    <t>attenuation units</t>
  </si>
  <si>
    <t>AU</t>
  </si>
  <si>
    <t>platinum cobalt units</t>
  </si>
  <si>
    <t>Color</t>
  </si>
  <si>
    <t>PCU</t>
  </si>
  <si>
    <t>the ratio between UV absorbance at 254 nm and DOC level</t>
  </si>
  <si>
    <t>Specific UV Absorbance</t>
  </si>
  <si>
    <t>L/(mg DOC/cm)</t>
  </si>
  <si>
    <t>billion colonies per day</t>
  </si>
  <si>
    <t>Organism Loading</t>
  </si>
  <si>
    <t>10^9 colonies/d</t>
  </si>
  <si>
    <t>number of organisms per square meter</t>
  </si>
  <si>
    <t>Organism Concentration</t>
  </si>
  <si>
    <t>#/m2</t>
  </si>
  <si>
    <t>number of organisms per liter</t>
  </si>
  <si>
    <t>#/L</t>
  </si>
  <si>
    <t>number or organisms per cubic meter</t>
  </si>
  <si>
    <t>#/m3</t>
  </si>
  <si>
    <t>cells per milliliter</t>
  </si>
  <si>
    <t>cells/ml</t>
  </si>
  <si>
    <t>cells per square millimeter</t>
  </si>
  <si>
    <t>cells/mm2</t>
  </si>
  <si>
    <t>colonies per 100 milliliters</t>
  </si>
  <si>
    <t>colonies/100 ml</t>
  </si>
  <si>
    <t>colonies per milliliter</t>
  </si>
  <si>
    <t>colonies/ml</t>
  </si>
  <si>
    <t>colonies per gram</t>
  </si>
  <si>
    <t>colonies/g</t>
  </si>
  <si>
    <t>colony forming units per milliliter</t>
  </si>
  <si>
    <t>CFU/ml</t>
  </si>
  <si>
    <t>cysts per 10 liters</t>
  </si>
  <si>
    <t>cysts/10 L</t>
  </si>
  <si>
    <t>cysts per 100 liters</t>
  </si>
  <si>
    <t>cysts/100 L</t>
  </si>
  <si>
    <t>oocysts per 10 liters</t>
  </si>
  <si>
    <t>oocysts/10 L</t>
  </si>
  <si>
    <t>oocysts per 100 liters</t>
  </si>
  <si>
    <t>oocysts/100 L</t>
  </si>
  <si>
    <t>most probable number</t>
  </si>
  <si>
    <t>MPN</t>
  </si>
  <si>
    <t>most probable number per 100 liters</t>
  </si>
  <si>
    <t>MPN/100 L</t>
  </si>
  <si>
    <t>most probable number per 100 milliliters</t>
  </si>
  <si>
    <t>MPN/100 ml</t>
  </si>
  <si>
    <t>most probable number per gram</t>
  </si>
  <si>
    <t>MPN/g</t>
  </si>
  <si>
    <t>plaque-forming units per 100 liters</t>
  </si>
  <si>
    <t>PFU/100 L</t>
  </si>
  <si>
    <t>plaques per 100 milliliters</t>
  </si>
  <si>
    <t>plaques/100 ml</t>
  </si>
  <si>
    <t>counts per second</t>
  </si>
  <si>
    <t>Rate</t>
  </si>
  <si>
    <t>#/s</t>
  </si>
  <si>
    <t>per day</t>
  </si>
  <si>
    <t>1/d</t>
  </si>
  <si>
    <t>nanograms per square meter per hour</t>
  </si>
  <si>
    <t>Volatilization Rate</t>
  </si>
  <si>
    <t>ng/m2 hr</t>
  </si>
  <si>
    <t>nanograms per square meter per week</t>
  </si>
  <si>
    <t>ng/m2 week</t>
  </si>
  <si>
    <t>count</t>
  </si>
  <si>
    <t>#</t>
  </si>
  <si>
    <t>categorical</t>
  </si>
  <si>
    <t>code</t>
  </si>
  <si>
    <t>absorbance per centimeter per mg/L of given acid</t>
  </si>
  <si>
    <t>Absorbance</t>
  </si>
  <si>
    <t>100/cm mg/L</t>
  </si>
  <si>
    <t>per liter</t>
  </si>
  <si>
    <t>Concentration Ratio</t>
  </si>
  <si>
    <t>1/L</t>
  </si>
  <si>
    <t>per mille per hour</t>
  </si>
  <si>
    <t>Sedimentation Rate</t>
  </si>
  <si>
    <t>%o/hr</t>
  </si>
  <si>
    <t>gallons per batch</t>
  </si>
  <si>
    <t>gpb</t>
  </si>
  <si>
    <t>cubic feet per barrel</t>
  </si>
  <si>
    <t>ft3/bbl</t>
  </si>
  <si>
    <t>per mille by volume</t>
  </si>
  <si>
    <t>%o by vol</t>
  </si>
  <si>
    <t>per mille per hour by volume</t>
  </si>
  <si>
    <t>%o/hr by vol</t>
  </si>
  <si>
    <t>micromoles</t>
  </si>
  <si>
    <t>Amount</t>
  </si>
  <si>
    <t>umol</t>
  </si>
  <si>
    <t>tons of calcium carbonate per kiloton</t>
  </si>
  <si>
    <t>Net Neutralization Potential</t>
  </si>
  <si>
    <t>tCaCO3/Kt</t>
  </si>
  <si>
    <t>siemens per meter</t>
  </si>
  <si>
    <t>S/m</t>
  </si>
  <si>
    <t>millisiemens per centimeter</t>
  </si>
  <si>
    <t>mS/cm</t>
  </si>
  <si>
    <t>siemens per centimeter</t>
  </si>
  <si>
    <t>S/cm</t>
  </si>
  <si>
    <t>practical salinity scale</t>
  </si>
  <si>
    <t>pss</t>
  </si>
  <si>
    <t>per meter</t>
  </si>
  <si>
    <t>Light Extinction</t>
  </si>
  <si>
    <t>1/m</t>
  </si>
  <si>
    <t>normal</t>
  </si>
  <si>
    <t>Normality</t>
  </si>
  <si>
    <t>nanomoles per kilogram</t>
  </si>
  <si>
    <t>nmol/kg</t>
  </si>
  <si>
    <t>millimoles per kilogram</t>
  </si>
  <si>
    <t>mmol/kg</t>
  </si>
  <si>
    <t>millimoles per square meter per hour</t>
  </si>
  <si>
    <t>Areal Flux</t>
  </si>
  <si>
    <t>mmol/m2 hr</t>
  </si>
  <si>
    <t>milligrams per cubic meter per hour</t>
  </si>
  <si>
    <t>mg/m3 hr</t>
  </si>
  <si>
    <t>milligrams per day</t>
  </si>
  <si>
    <t>mg/d</t>
  </si>
  <si>
    <t>liters per minute</t>
  </si>
  <si>
    <t>L/min</t>
  </si>
  <si>
    <t>liters per day</t>
  </si>
  <si>
    <t>L/d</t>
  </si>
  <si>
    <t>jackson candle units</t>
  </si>
  <si>
    <t>JCU</t>
  </si>
  <si>
    <t>grains per gallon</t>
  </si>
  <si>
    <t>gpg</t>
  </si>
  <si>
    <t>gallons per second</t>
  </si>
  <si>
    <t>gps</t>
  </si>
  <si>
    <t>gallons per hour</t>
  </si>
  <si>
    <t>gph</t>
  </si>
  <si>
    <t>foot candle</t>
  </si>
  <si>
    <t>Illuminance</t>
  </si>
  <si>
    <t>ftc</t>
  </si>
  <si>
    <t>fibers per liter</t>
  </si>
  <si>
    <t>fibers/L</t>
  </si>
  <si>
    <t>drips per minute</t>
  </si>
  <si>
    <t>drips/min</t>
  </si>
  <si>
    <t>cubic centimeters per second</t>
  </si>
  <si>
    <t>cm3/sec</t>
  </si>
  <si>
    <t>colony forming units</t>
  </si>
  <si>
    <t>CFU</t>
  </si>
  <si>
    <t>colony forming units per 100 milliliter</t>
  </si>
  <si>
    <t>CFU/100 ml</t>
  </si>
  <si>
    <t>cubic feet per minute</t>
  </si>
  <si>
    <t>cfm</t>
  </si>
  <si>
    <t>ADMI color unit</t>
  </si>
  <si>
    <t>ADMI</t>
  </si>
  <si>
    <t>percent by volume</t>
  </si>
  <si>
    <t>% by vol</t>
  </si>
  <si>
    <t>number of organisms per 500 milliliter</t>
  </si>
  <si>
    <t>#/500 ml</t>
  </si>
  <si>
    <t>number of organisms per 100 gallon</t>
  </si>
  <si>
    <t>#/100 gal</t>
  </si>
  <si>
    <t>grams per cubic meter per hour</t>
  </si>
  <si>
    <t>g/m3 hr</t>
  </si>
  <si>
    <t>grams per minute</t>
  </si>
  <si>
    <t>g/min</t>
  </si>
  <si>
    <t>grams per second</t>
  </si>
  <si>
    <t>g/s</t>
  </si>
  <si>
    <t>million cubic feet</t>
  </si>
  <si>
    <t>10^6 ft3</t>
  </si>
  <si>
    <t>month year</t>
  </si>
  <si>
    <t>mmyy</t>
  </si>
  <si>
    <t>bar</t>
  </si>
  <si>
    <t>decisiemens per centimeter</t>
  </si>
  <si>
    <t>dS/cm</t>
  </si>
  <si>
    <t>micromoles per liter</t>
  </si>
  <si>
    <t>umol/L</t>
  </si>
  <si>
    <t>Joules per square centimeter</t>
  </si>
  <si>
    <t>J/cm2</t>
  </si>
  <si>
    <t>millimeters per day</t>
  </si>
  <si>
    <t>velocity</t>
  </si>
  <si>
    <t>mm/day</t>
  </si>
  <si>
    <t>parts per thousand</t>
  </si>
  <si>
    <t>ppth</t>
  </si>
  <si>
    <t>megaliter</t>
  </si>
  <si>
    <t>Percent Saturation</t>
  </si>
  <si>
    <t>% Sat</t>
  </si>
  <si>
    <t>pH Unit</t>
  </si>
  <si>
    <t>pH</t>
  </si>
  <si>
    <t>millimeters per second</t>
  </si>
  <si>
    <t>mm/s</t>
  </si>
  <si>
    <t>liters per hour</t>
  </si>
  <si>
    <t>L/hr</t>
  </si>
  <si>
    <t>cubic hecto meter</t>
  </si>
  <si>
    <t>(hm)^3</t>
  </si>
  <si>
    <t>mols per cubic meter</t>
  </si>
  <si>
    <t>Concentration or organism concentration</t>
  </si>
  <si>
    <t>mol/m3</t>
  </si>
  <si>
    <t>kilo grams per month</t>
  </si>
  <si>
    <t>kg/month</t>
  </si>
  <si>
    <t>Hecto Pascal</t>
  </si>
  <si>
    <t>hPa</t>
  </si>
  <si>
    <t>kilo grams per cubic meter</t>
  </si>
  <si>
    <t>kg/m3</t>
  </si>
  <si>
    <t>short tons per month</t>
  </si>
  <si>
    <t>ton/month</t>
  </si>
  <si>
    <t>grams per square meter per hour</t>
  </si>
  <si>
    <t>g/m2 hr</t>
  </si>
  <si>
    <t>milligrams per cubic meter</t>
  </si>
  <si>
    <t>mg/m3</t>
  </si>
  <si>
    <t>meters squared per second squared</t>
  </si>
  <si>
    <t>m2/s2</t>
  </si>
  <si>
    <t>squared degree Celsius</t>
  </si>
  <si>
    <t>(DegC)2</t>
  </si>
  <si>
    <t>milligrams per cubic meter squared</t>
  </si>
  <si>
    <t>(mg/m3)2</t>
  </si>
  <si>
    <t>meters per second degree Celsius</t>
  </si>
  <si>
    <t>m/s DegC</t>
  </si>
  <si>
    <t>millimoles per square meter per second</t>
  </si>
  <si>
    <t>mmol/m2 s</t>
  </si>
  <si>
    <t>degree Celsius millimoles per cubic meter</t>
  </si>
  <si>
    <t>DegC mmol/m3</t>
  </si>
  <si>
    <t>millimoles per cubic meter</t>
  </si>
  <si>
    <t>mmol/m3</t>
  </si>
  <si>
    <t>millimoles per cubic meter squared</t>
  </si>
  <si>
    <t>(mmol/m3)2</t>
  </si>
  <si>
    <t>Langleys per hour</t>
  </si>
  <si>
    <t>Ly/hr</t>
  </si>
  <si>
    <t>hits per square centimeter</t>
  </si>
  <si>
    <t>hits/cm^2</t>
  </si>
  <si>
    <t>hits per square centimeter per hour</t>
  </si>
  <si>
    <t>hits/cm^2h</t>
  </si>
  <si>
    <t>relative fluorescence units</t>
  </si>
  <si>
    <t>Fluorescence</t>
  </si>
  <si>
    <t>RFU</t>
  </si>
  <si>
    <t>kilograms per hectare per day</t>
  </si>
  <si>
    <t>kg/ha d</t>
  </si>
  <si>
    <t>kilowatts per square meter</t>
  </si>
  <si>
    <t>kW/m2</t>
  </si>
  <si>
    <t>centimoles per kilogram</t>
  </si>
  <si>
    <t>cmol/kg</t>
  </si>
  <si>
    <t>micrograms per gram</t>
  </si>
  <si>
    <t>ug/g</t>
  </si>
  <si>
    <t>kilograms per hectare</t>
  </si>
  <si>
    <t>kg/ha</t>
  </si>
  <si>
    <t>cubic meter per cubic meter</t>
  </si>
  <si>
    <t>Concentraion</t>
  </si>
  <si>
    <t>m3/m3</t>
  </si>
  <si>
    <t>micromoles per mole</t>
  </si>
  <si>
    <t>umol/mol</t>
  </si>
  <si>
    <t>millimoles per mole</t>
  </si>
  <si>
    <t>mmol/mol</t>
  </si>
  <si>
    <t>milligrams per square meter per second</t>
  </si>
  <si>
    <t>mg/m2 s</t>
  </si>
  <si>
    <t>Category</t>
  </si>
  <si>
    <t>Keywords</t>
  </si>
  <si>
    <t>19-Hexanoyloxyfucoxanthin</t>
  </si>
  <si>
    <t>The phytoplankton pigment 19-Hexanoyloxyfucoxanthin</t>
  </si>
  <si>
    <t>none</t>
  </si>
  <si>
    <t>9 cis-Neoxanthin</t>
  </si>
  <si>
    <t>The phytoplankton pigment Â 9 cis-Neoxanthin</t>
  </si>
  <si>
    <t>Acid neutralizing capacity</t>
  </si>
  <si>
    <t xml:space="preserve">Acid neutralizing capacity </t>
  </si>
  <si>
    <t>Agency code</t>
  </si>
  <si>
    <t>Code for the agency which analyzed the sample</t>
  </si>
  <si>
    <t>Albedo</t>
  </si>
  <si>
    <t>The ratio of reflected to incident light.</t>
  </si>
  <si>
    <t>Alkalinity, bicarbonate</t>
  </si>
  <si>
    <t xml:space="preserve">Bicarbonate Alkalinity </t>
  </si>
  <si>
    <t xml:space="preserve">Alkalinity, carbonate </t>
  </si>
  <si>
    <t xml:space="preserve">Carbonate Alkalinity </t>
  </si>
  <si>
    <t>Alkalinity, carbonate plus bicarbonate</t>
  </si>
  <si>
    <t xml:space="preserve">Alkalinity, hydroxide </t>
  </si>
  <si>
    <t xml:space="preserve">Hydroxide Alkalinity </t>
  </si>
  <si>
    <t xml:space="preserve">Alkalinity, total </t>
  </si>
  <si>
    <t>Total Alkalinity</t>
  </si>
  <si>
    <t>Alloxanthin</t>
  </si>
  <si>
    <t>The phytoplankton pigment Alloxanthin</t>
  </si>
  <si>
    <t>Aluminum</t>
  </si>
  <si>
    <t>Aluminum (Al)</t>
  </si>
  <si>
    <t>Barometric pressure</t>
  </si>
  <si>
    <t>Battery voltage</t>
  </si>
  <si>
    <t>The battery voltage of a datalogger or sensing system, often recorded as an indicator of data reliability</t>
  </si>
  <si>
    <t>Bicarbonate</t>
  </si>
  <si>
    <t>Bicarbonate (HCO3-)</t>
  </si>
  <si>
    <t>BOD20</t>
  </si>
  <si>
    <t>20-day Biochemical Oxygen Demand</t>
  </si>
  <si>
    <t>BOD20, nitrogenous</t>
  </si>
  <si>
    <t>20-day Nitrogenous Biochemical Oxygen Demand</t>
  </si>
  <si>
    <t>BOD5</t>
  </si>
  <si>
    <t>5-day Biochemical Oxygen Demand</t>
  </si>
  <si>
    <t>BOD5, carbonaceous</t>
  </si>
  <si>
    <t>5-day Carbonaceous Biochemical Oxygen Demand</t>
  </si>
  <si>
    <t>BOD5, nitrogenous</t>
  </si>
  <si>
    <t>5-day Nitrogenous Biochemical Oxygen Demand</t>
  </si>
  <si>
    <t>BODu</t>
  </si>
  <si>
    <t>Ultimate Biochemical Oxygen Demand</t>
  </si>
  <si>
    <t>BODu, carbonaceous</t>
  </si>
  <si>
    <t>Carbonaceous Ultimate Biochemical Oxygen Demand</t>
  </si>
  <si>
    <t>BODu, nitrogenous</t>
  </si>
  <si>
    <t>Nitrogenous Ultimate Biochemical Oxygen Demand</t>
  </si>
  <si>
    <t>Borehole log material classification</t>
  </si>
  <si>
    <t>Classification of material encountered by a driller at various depths during the drilling of a well and recorded in the borehole log.</t>
  </si>
  <si>
    <t>Boron</t>
  </si>
  <si>
    <t>Boron (B)</t>
  </si>
  <si>
    <t>Bromide</t>
  </si>
  <si>
    <t>Bulk density</t>
  </si>
  <si>
    <t>The mass of many particles of the material divided by the total volume they occupy. The total volume includes particle volume, inter-particle void volume and internal pore volume.</t>
  </si>
  <si>
    <t>Bulk electrical conductivity</t>
  </si>
  <si>
    <t>Bulk electrical conductivity of a medium measured using a sensor such as time domain reflectometry (TDR), as a raw sensor response in the measurement of a quantity like soil moisture.</t>
  </si>
  <si>
    <t>Cadmium</t>
  </si>
  <si>
    <t>Cadmium (Cd)</t>
  </si>
  <si>
    <t xml:space="preserve">Calcium </t>
  </si>
  <si>
    <t xml:space="preserve">Calcium (Ca) </t>
  </si>
  <si>
    <t>Canthaxanthin</t>
  </si>
  <si>
    <t>The phytoplankton pigment Canthaxanthin</t>
  </si>
  <si>
    <t>Carbon dioxide</t>
  </si>
  <si>
    <t>Carbon dioxide flux</t>
  </si>
  <si>
    <t>Carbon dioxide (CO2) flux</t>
  </si>
  <si>
    <t>Carbon dioxide storage flux</t>
  </si>
  <si>
    <t>Carbon dioxide (CO2) storage flux</t>
  </si>
  <si>
    <t>Carbon dioxide, transducer signal</t>
  </si>
  <si>
    <t>Carbon dioxide (CO2), raw data from sensor</t>
  </si>
  <si>
    <t>Carbon to Nitrogen molar ratio</t>
  </si>
  <si>
    <t>C:N (molar)</t>
  </si>
  <si>
    <t>Carbon, dissolved inorganic</t>
  </si>
  <si>
    <t>Dissolved Inorganic Carbon</t>
  </si>
  <si>
    <t>Carbon, dissolved organic</t>
  </si>
  <si>
    <t>Dissolved Organic Carbon</t>
  </si>
  <si>
    <t>Carbon, dissolved total</t>
  </si>
  <si>
    <t>Dissolved Total (Organic+Inorganic) Carbon</t>
  </si>
  <si>
    <t>Carbon, suspended inorganic</t>
  </si>
  <si>
    <t>Suspended Inorganic Carbon</t>
  </si>
  <si>
    <t>Carbon, suspended organic</t>
  </si>
  <si>
    <t>Suspended Organic Carbon</t>
  </si>
  <si>
    <t>Carbon, suspened total</t>
  </si>
  <si>
    <t>Suspended Total (Organic+Inorganic) Carbon</t>
  </si>
  <si>
    <t>Carbon, total</t>
  </si>
  <si>
    <t>Total (Dissolved+Suspended+Particulate) Carbon</t>
  </si>
  <si>
    <t>Carbon, total inorganic</t>
  </si>
  <si>
    <t>Total (Dissolved+Suspended+Particulate) Inorganic Carbon</t>
  </si>
  <si>
    <t>Carbon, total organic</t>
  </si>
  <si>
    <t>Total (Dissolved+Suspended+Particulate) Organic Carbon</t>
  </si>
  <si>
    <t>Carbon, total solid phase</t>
  </si>
  <si>
    <t>Total solid phase carbon</t>
  </si>
  <si>
    <t>Carbonate</t>
  </si>
  <si>
    <t>Carbonate ion (CO3-2) concentration</t>
  </si>
  <si>
    <t>Chloride</t>
  </si>
  <si>
    <t>Chloride (Cl-)</t>
  </si>
  <si>
    <t>Chlorophyll (a+b+c)</t>
  </si>
  <si>
    <t>Chlorophyll a</t>
  </si>
  <si>
    <t>Chlorophyll a allomer</t>
  </si>
  <si>
    <t>The phytoplankton pigment Chlorophyll a allomer</t>
  </si>
  <si>
    <t>Chlorophyll a, corrected for pheophytin</t>
  </si>
  <si>
    <t>Chlorphyll a corrected for pheophytin</t>
  </si>
  <si>
    <t>Chlorophyll a, uncorrected for pheophytin</t>
  </si>
  <si>
    <t>Chlorophyll a uncorrected for pheophytin</t>
  </si>
  <si>
    <t>Chlorophyll b</t>
  </si>
  <si>
    <t>Chlorophyll c</t>
  </si>
  <si>
    <t>Chlorophyll c1 and c2</t>
  </si>
  <si>
    <t>Chlorophyll fluorescence</t>
  </si>
  <si>
    <t>Chlorophyll Fluorescence</t>
  </si>
  <si>
    <t>Chromium (III)</t>
  </si>
  <si>
    <t>Trivalent Chromium</t>
  </si>
  <si>
    <t>Chromium (VI)</t>
  </si>
  <si>
    <t>Hexavalent Chromium</t>
  </si>
  <si>
    <t>Chromium, total</t>
  </si>
  <si>
    <t>Chromium, all forms</t>
  </si>
  <si>
    <t>COD</t>
  </si>
  <si>
    <t>Chemical oxygen demand</t>
  </si>
  <si>
    <t>Coliform, fecal</t>
  </si>
  <si>
    <t>Fecal Coliform</t>
  </si>
  <si>
    <t>Coliform, total</t>
  </si>
  <si>
    <t>Total Coliform</t>
  </si>
  <si>
    <t>Color in quantified in color units</t>
  </si>
  <si>
    <t>Colored dissolved organic matter</t>
  </si>
  <si>
    <t>The concentration of colored dissolved organic matter (humic substances)</t>
  </si>
  <si>
    <t>Container number</t>
  </si>
  <si>
    <t>The identifying number for a water sampler container.</t>
  </si>
  <si>
    <t>Copper</t>
  </si>
  <si>
    <t>Copper (Cu)</t>
  </si>
  <si>
    <t>Cryptophytes</t>
  </si>
  <si>
    <t>The chlorophyll a concentration contributed by cryptophytes</t>
  </si>
  <si>
    <t>Density</t>
  </si>
  <si>
    <t>Deuterium</t>
  </si>
  <si>
    <t>Deuterium (2H), Delta D</t>
  </si>
  <si>
    <t>Diadinoxanthin</t>
  </si>
  <si>
    <t>The phytoplankton pigment Diadinoxanthin</t>
  </si>
  <si>
    <t>Diatoxanthin</t>
  </si>
  <si>
    <t>The phytoplankton pigment Diatoxanthin</t>
  </si>
  <si>
    <t>Dinoflagellates</t>
  </si>
  <si>
    <t>The chlorophyll a concentration contributed by Dinoflagellates</t>
  </si>
  <si>
    <t>Discharge</t>
  </si>
  <si>
    <t>Distance</t>
  </si>
  <si>
    <t>Distance measured from a sensor to a target object such as the surface of a water body or snow surface.</t>
  </si>
  <si>
    <t>E-coli</t>
  </si>
  <si>
    <t>Escherichia coli</t>
  </si>
  <si>
    <t>Electric Energy</t>
  </si>
  <si>
    <t>Electric Power</t>
  </si>
  <si>
    <t>Electrical conductivity</t>
  </si>
  <si>
    <t>Evaporation</t>
  </si>
  <si>
    <t>Evapotranspiration</t>
  </si>
  <si>
    <t>Evapotranspiration, potential</t>
  </si>
  <si>
    <t>The amount of water that could be evaporated and transpired if there was sufficient water available.</t>
  </si>
  <si>
    <t>Exchange acidity</t>
  </si>
  <si>
    <t>The total amount of the Cation Exchange Capacity (CEC) of a soil that is due to H+ and Al3+ ions. It is a proportion of the total acidity and it is dependent on the type of soil and the percentage of the CEC that is composed of exchangeable bases (Ca2+, Mg2+, K+).</t>
  </si>
  <si>
    <t>Fish detections</t>
  </si>
  <si>
    <t>The number of fish identified by the detection equipment</t>
  </si>
  <si>
    <t>Flash memory error count</t>
  </si>
  <si>
    <t>A counter which counts the number of Â datalogger flash memory errors</t>
  </si>
  <si>
    <t>Fluoride</t>
  </si>
  <si>
    <t>Fluoride - F-</t>
  </si>
  <si>
    <t>Friction velocity</t>
  </si>
  <si>
    <t>Gage height</t>
  </si>
  <si>
    <t>Water level with regard to an arbitrary gage datum (also see Water depth for comparison)</t>
  </si>
  <si>
    <t>Gross primary productivity</t>
  </si>
  <si>
    <t>Rate at which an ecosystem accumulates energy by fixation of sunlight, including that consumed by the ecosystem.</t>
  </si>
  <si>
    <t>gross primary productivity, primary productivity, Gross primary production, primary production</t>
  </si>
  <si>
    <t>Ground heat flux</t>
  </si>
  <si>
    <t>Hardness, carbonate</t>
  </si>
  <si>
    <t>Carbonate hardness also known as temporary hardness</t>
  </si>
  <si>
    <t>Hardness, non-carbonate</t>
  </si>
  <si>
    <t>Non-carbonate hardness</t>
  </si>
  <si>
    <t>Hardness, total</t>
  </si>
  <si>
    <t>Total hardness</t>
  </si>
  <si>
    <t>Hydrogen-2, stable isotope ratio delta</t>
  </si>
  <si>
    <t>Difference in the  2H:1H ratio between the sample and standard</t>
  </si>
  <si>
    <t>Imaginary dielectric constant</t>
  </si>
  <si>
    <t>Soil reponse of a reflected standing electromagnetic wave of a particular frequency which is related to the dissipation (or loss) of energy within the medium. This is the imaginary portion of the complex dielectric constant.</t>
  </si>
  <si>
    <t>Instrument status code</t>
  </si>
  <si>
    <t>Code value recorded by instrument indicating some information regarding the status of the instrument</t>
  </si>
  <si>
    <t>Iron sulfide</t>
  </si>
  <si>
    <t>Iron sulfide (FeS2)</t>
  </si>
  <si>
    <t>Iron, ferric</t>
  </si>
  <si>
    <t>Ferric Iron (Fe+3)</t>
  </si>
  <si>
    <t>Iron, ferrous</t>
  </si>
  <si>
    <t>Ferrous Iron (Fe+2)</t>
  </si>
  <si>
    <t>Latent heat flux</t>
  </si>
  <si>
    <t>Latent Heat Flux</t>
  </si>
  <si>
    <t>Latitude</t>
  </si>
  <si>
    <t>Latitude as a variable measurement or observation (Spatial reference to be designated in methods). Â This is distinct from the latitude of a site which is a site attribute.</t>
  </si>
  <si>
    <t>Lead</t>
  </si>
  <si>
    <t>Lead (Pb)</t>
  </si>
  <si>
    <t>Leaf wetness</t>
  </si>
  <si>
    <t>The effect of moisture settling on the surface of a leaf as a result of either condensation or rainfall.</t>
  </si>
  <si>
    <t>Light attenuation coefficient</t>
  </si>
  <si>
    <t>Lithium</t>
  </si>
  <si>
    <t>Lithium (Li)</t>
  </si>
  <si>
    <t>Longitude</t>
  </si>
  <si>
    <t>Longitude as a variable measurement or observation (Spatial reference to be designated in methods). This is distinct from the longitude of a site which is a site attribute.</t>
  </si>
  <si>
    <t>Low battery count</t>
  </si>
  <si>
    <t>A counter of the number of times the battery voltage dropped below a minimum threshold</t>
  </si>
  <si>
    <t>LSI</t>
  </si>
  <si>
    <t>Langelier Saturation Index is an indicator of the degree of saturation of water with respect to calcium carbonate</t>
  </si>
  <si>
    <t>Magnesium</t>
  </si>
  <si>
    <t>Magnesium (Mg)</t>
  </si>
  <si>
    <t>Manganese</t>
  </si>
  <si>
    <t>Manganese (Mn)</t>
  </si>
  <si>
    <t>Mercury</t>
  </si>
  <si>
    <t>Mercury (Hg)</t>
  </si>
  <si>
    <t>Methylmercury</t>
  </si>
  <si>
    <t>Methylmercury (CH3Hg)</t>
  </si>
  <si>
    <t>Molybdenum</t>
  </si>
  <si>
    <t>Molybdenum (Mo)</t>
  </si>
  <si>
    <t>Momentum flux</t>
  </si>
  <si>
    <t>N, albuminoid</t>
  </si>
  <si>
    <t>Albuminoid Nitrogen</t>
  </si>
  <si>
    <t>Nitrogen, dissolved inorganic</t>
  </si>
  <si>
    <t>Dissolved inorganic nitrogen</t>
  </si>
  <si>
    <t>Nitrogen, dissolved organic</t>
  </si>
  <si>
    <t>Dissolved Organic Nitrogen</t>
  </si>
  <si>
    <t>Nitrogen, gas</t>
  </si>
  <si>
    <t>Gaseous Nitrogen (N2)</t>
  </si>
  <si>
    <t>Nitrogen, inorganic</t>
  </si>
  <si>
    <t>Total Inorganic Nitrogen</t>
  </si>
  <si>
    <t>Nitrogen, NH3</t>
  </si>
  <si>
    <t>Free Ammonia (NH3)</t>
  </si>
  <si>
    <t>Nitrogen, NH3 + NH4</t>
  </si>
  <si>
    <t>Total (free+ionized) Ammonia</t>
  </si>
  <si>
    <t>Nitrogen, NH4</t>
  </si>
  <si>
    <t>Ammonium (NH4)</t>
  </si>
  <si>
    <t>Nitrogen, nitrate (NO3)</t>
  </si>
  <si>
    <t>Nitrate (NO3) Nitrogen</t>
  </si>
  <si>
    <t>Nitrogen, nitrite (NO2)</t>
  </si>
  <si>
    <t>Nitrite (NO2) Nitrogen</t>
  </si>
  <si>
    <t>Nitrogen, nitrite (NO2) + nitrate (NO3)</t>
  </si>
  <si>
    <t>Nitrite (NO2) + Nitrate (NO3) Nitrogen</t>
  </si>
  <si>
    <t>Nitrogen, organic</t>
  </si>
  <si>
    <t>Organic Nitrogen</t>
  </si>
  <si>
    <t>Nitrogen, particulate organic</t>
  </si>
  <si>
    <t>Particulate Organic Nitrogen</t>
  </si>
  <si>
    <t>Nitrogen, total</t>
  </si>
  <si>
    <t>Total Nitrogen (NO3+NO2+NH4+NH3+Organic)</t>
  </si>
  <si>
    <t>Nitrogen, total dissolved</t>
  </si>
  <si>
    <t>Total dissolved nitrogen</t>
  </si>
  <si>
    <t>Nitrogen, total kjeldahl</t>
  </si>
  <si>
    <t xml:space="preserve">Total Kjeldahl Nitrogen (Ammonia+Organic) </t>
  </si>
  <si>
    <t>Nitrogen-15, stable isotope ratio delta</t>
  </si>
  <si>
    <t>Difference in the 15N:14N ratio between the sample and standard</t>
  </si>
  <si>
    <t>Organic matter</t>
  </si>
  <si>
    <t>The organic matter component of a complex material.</t>
  </si>
  <si>
    <t>Oxygen, dissolved</t>
  </si>
  <si>
    <t>Dissolved oxygen</t>
  </si>
  <si>
    <t>Oxygen, dissolved percent of saturation</t>
  </si>
  <si>
    <t>Dissolved oxygen, percent saturation</t>
  </si>
  <si>
    <t>Oxygen, dissolved, transducer signal</t>
  </si>
  <si>
    <t>Dissolved oxygen, raw data from sensor</t>
  </si>
  <si>
    <t>Oxygen-18</t>
  </si>
  <si>
    <t>18 O, Delta O</t>
  </si>
  <si>
    <t>Oxygen-18, stable isotope ratio delta</t>
  </si>
  <si>
    <t>Difference in the 18O:16O ratio between the sample and standard</t>
  </si>
  <si>
    <t>Ozone</t>
  </si>
  <si>
    <t>Ozone (O3)</t>
  </si>
  <si>
    <t>Parameter</t>
  </si>
  <si>
    <t>Parameter related to a hydrologic process.  An example usage would be for a starge-discharge relation parameter.</t>
  </si>
  <si>
    <t>Peridinin</t>
  </si>
  <si>
    <t>The phytoplankton pigment Peridinin</t>
  </si>
  <si>
    <t>Permittivity</t>
  </si>
  <si>
    <t>Permittivity is a physical quantity that describes how an electric field affects, and is affected by a dielectric medium, and is determined by the ability of a material to polarize in response to the field, and thereby reduce the total electric field inside the material. Thus, permittivity relates to a material's ability to transmit (or "permit") an electric field.</t>
  </si>
  <si>
    <t xml:space="preserve">pH is the measure of the acidity or alkalinity of a solution. pH is formally a measure of the activity of dissolved hydrogen ions (H+).  Solutions in which the concentration of H+ exceeds that of OH- have a pH value lower than 7.0 and are known as acids. </t>
  </si>
  <si>
    <t>Pheophytin</t>
  </si>
  <si>
    <t>Pheophytin (Chlorophyll which has lost the central Mg ion) is a degradation product of Chlorophyll</t>
  </si>
  <si>
    <t xml:space="preserve">Phosphorus, inorganic </t>
  </si>
  <si>
    <t>Inorganic Phosphorus</t>
  </si>
  <si>
    <t>Phosphorus, organic</t>
  </si>
  <si>
    <t>Organic Phosphorus</t>
  </si>
  <si>
    <t>Phosphorus, orthophosphate dissolved</t>
  </si>
  <si>
    <t>Dissolved orthophosphate phosphorus</t>
  </si>
  <si>
    <t>Phosphorus, ortophosphate</t>
  </si>
  <si>
    <t>Orthophosphate Phosphorus</t>
  </si>
  <si>
    <t>Phosphorus, particulate</t>
  </si>
  <si>
    <t>Particulate phosphorus</t>
  </si>
  <si>
    <t>Phosphorus, phosphate (PO4)</t>
  </si>
  <si>
    <t>Phosphate Phosphorus</t>
  </si>
  <si>
    <t>Phosphorus, polyphosphate</t>
  </si>
  <si>
    <t>Polyphosphate Phosphorus</t>
  </si>
  <si>
    <t>Phosphorus, total</t>
  </si>
  <si>
    <t>Total Phosphorus</t>
  </si>
  <si>
    <t>Phosphorus, total dissolved</t>
  </si>
  <si>
    <t>Total dissolved phosphorus</t>
  </si>
  <si>
    <t>Phycocyanin</t>
  </si>
  <si>
    <t>The blue pigment used by cyanobacteria to capture light for photosynthesis.</t>
  </si>
  <si>
    <t>Position</t>
  </si>
  <si>
    <t>Position of an element that interacts with water such as reservoir gates</t>
  </si>
  <si>
    <t>Potassium</t>
  </si>
  <si>
    <t>Potassium (K)</t>
  </si>
  <si>
    <t>Precipitation such as rainfall. Should not be confused with settling.</t>
  </si>
  <si>
    <t>Primary productivity</t>
  </si>
  <si>
    <t>Primary Productivity</t>
  </si>
  <si>
    <t>Program signature</t>
  </si>
  <si>
    <t>A unique data recorder program identifier which is useful for knowing when the source code in the data recorder has been modified.</t>
  </si>
  <si>
    <t>Radiation, incoming</t>
  </si>
  <si>
    <t>Incoming radiation</t>
  </si>
  <si>
    <t>Radiation, incoming longwave</t>
  </si>
  <si>
    <t>Incoming Longwave Radiation</t>
  </si>
  <si>
    <t>Radiation, incoming PAR</t>
  </si>
  <si>
    <t>Incoming Photosynthetically-Active Radiation</t>
  </si>
  <si>
    <t>Radiation, incoming shortwave</t>
  </si>
  <si>
    <t>Incoming Shortwave Radiation</t>
  </si>
  <si>
    <t>Radiation, incoming UV-A</t>
  </si>
  <si>
    <t>Incoming Ultraviolet A Radiation</t>
  </si>
  <si>
    <t>Radiation, incoming UV-B</t>
  </si>
  <si>
    <t>Incoming Ultraviolet B Radiation</t>
  </si>
  <si>
    <t>Radiation, net</t>
  </si>
  <si>
    <t>Net Radiation</t>
  </si>
  <si>
    <t>Radiation, net longwave</t>
  </si>
  <si>
    <t>Net Longwave Radiation</t>
  </si>
  <si>
    <t>Radiation, net PAR</t>
  </si>
  <si>
    <t>Net Photosynthetically-Active Radiation</t>
  </si>
  <si>
    <t>Radiation, net shortwave</t>
  </si>
  <si>
    <t>Net Shortwave radiation</t>
  </si>
  <si>
    <t>Radiation, outgoing longwave</t>
  </si>
  <si>
    <t>Outgoing Longwave Radiation</t>
  </si>
  <si>
    <t>Radiation, outgoing PAR</t>
  </si>
  <si>
    <t>Outgoing Photosynthetically-Active Radiation</t>
  </si>
  <si>
    <t>Radiation, outgoing shortwave</t>
  </si>
  <si>
    <t>Outgoing Shortwave Radiation</t>
  </si>
  <si>
    <t>Radiation, total shortwave</t>
  </si>
  <si>
    <t>Total Shortwave Radiation</t>
  </si>
  <si>
    <t>Real dielectric constant</t>
  </si>
  <si>
    <t>Soil reponse of a reflected standing electromagnetic wave of a particular frequency which is related to the stored energy within the medium.  This is the real portion of the complex dielectric constant.</t>
  </si>
  <si>
    <t>Recorder code</t>
  </si>
  <si>
    <t>A code used to identifier a data recorder.</t>
  </si>
  <si>
    <t>Reduction potential</t>
  </si>
  <si>
    <t>Oxidation-reduction potential</t>
  </si>
  <si>
    <t>Relative humidity</t>
  </si>
  <si>
    <t>Remark</t>
  </si>
  <si>
    <t>Manually added comment field to provide additional information about a particular record.</t>
  </si>
  <si>
    <t>Remark, comments, information</t>
  </si>
  <si>
    <t>Respiration, ecosystem</t>
  </si>
  <si>
    <t>Gross carbon dioxide production by all organisms in an ecosystem. Ecosystem respiration is the sum of all respiration occurring by the living organisms in a specific ecosystem.</t>
  </si>
  <si>
    <t>ecosystem respiration, ecosystem, respiration</t>
  </si>
  <si>
    <t>Secchi depth</t>
  </si>
  <si>
    <t>Sensible heat flux</t>
  </si>
  <si>
    <t>Sensible Heat Flux</t>
  </si>
  <si>
    <t>Sequence number</t>
  </si>
  <si>
    <t>A counter of events in a sequence</t>
  </si>
  <si>
    <t>Signal-to-noise ratio</t>
  </si>
  <si>
    <t>Signal-to-noise ratio (often abbreviated SNR or S/N) is defined as the ratio of a signal power to the noise power corrupting the signal. The higher the ratio, the less obtrusive the background noise is.</t>
  </si>
  <si>
    <t>Silica</t>
  </si>
  <si>
    <t>Silica (SiO2)</t>
  </si>
  <si>
    <t>Silicate</t>
  </si>
  <si>
    <t>Silicate.  Chemical compound containing silicon, oxygen, and one or more metals, e.g., aluminum, barium, beryllium, calcium, iron, magnesium, manganese, potassium, sodium, or zirconium.</t>
  </si>
  <si>
    <t>Silicon</t>
  </si>
  <si>
    <t xml:space="preserve">Silicon (Si)  </t>
  </si>
  <si>
    <t>Snow depth</t>
  </si>
  <si>
    <t>Snow water equivalent</t>
  </si>
  <si>
    <t>The depth of water if a snow cover is completely melted, expressed in units of depth, on a corresponding horizontal surface area.</t>
  </si>
  <si>
    <t>Sodium</t>
  </si>
  <si>
    <t>Sodium (Na)</t>
  </si>
  <si>
    <t>Sodium adsorption ratio</t>
  </si>
  <si>
    <t>Sodium plus potassium</t>
  </si>
  <si>
    <t>Sodium, fraction of cations</t>
  </si>
  <si>
    <t>Solids, fixed dissolved</t>
  </si>
  <si>
    <t>Fixed Dissolved Solids</t>
  </si>
  <si>
    <t>Solids, fixed suspended</t>
  </si>
  <si>
    <t>Fixed Suspended Solids</t>
  </si>
  <si>
    <t>Solids, total</t>
  </si>
  <si>
    <t>Total Solids</t>
  </si>
  <si>
    <t>Solids, total dissolved</t>
  </si>
  <si>
    <t>Total Dissolved Solids</t>
  </si>
  <si>
    <t>Solids, total fixed</t>
  </si>
  <si>
    <t>Total Fixed Solids</t>
  </si>
  <si>
    <t>Solids, total suspended</t>
  </si>
  <si>
    <t>Total Suspended Solids</t>
  </si>
  <si>
    <t>Solids, total volatile</t>
  </si>
  <si>
    <t>Total Volatile Solids</t>
  </si>
  <si>
    <t>Solids, volatile dissolved</t>
  </si>
  <si>
    <t>Volatile Dissolved Solids</t>
  </si>
  <si>
    <t>Solids, volatile suspended</t>
  </si>
  <si>
    <t>Volatile Suspended Solids</t>
  </si>
  <si>
    <t>Specific conductance</t>
  </si>
  <si>
    <t>Streamflow</t>
  </si>
  <si>
    <t>The volume of water flowing past a fixed point. Â Equivalent to discharge</t>
  </si>
  <si>
    <t>Streptococci, fecal</t>
  </si>
  <si>
    <t>Fecal Streptococci</t>
  </si>
  <si>
    <t>Sulfate</t>
  </si>
  <si>
    <t>Sulfate (SO4)</t>
  </si>
  <si>
    <t>Sulfur</t>
  </si>
  <si>
    <t>Sulfur (S)</t>
  </si>
  <si>
    <t>Sulfur dioxide</t>
  </si>
  <si>
    <t>Sulfur dioxide (SO2)</t>
  </si>
  <si>
    <t>Sulfur, organic</t>
  </si>
  <si>
    <t>Organic Sulfur</t>
  </si>
  <si>
    <t>Sulfur, pyritic</t>
  </si>
  <si>
    <t>Pyritic Sulfur</t>
  </si>
  <si>
    <t>Sunshine duration</t>
  </si>
  <si>
    <t>Table overrun error count</t>
  </si>
  <si>
    <t>A counter which counts the number of datalogger table overrun errors</t>
  </si>
  <si>
    <t>TDR waveform relative length</t>
  </si>
  <si>
    <t>Time domain reflextometry, apparent length divided by probe length. Square root of dielectric</t>
  </si>
  <si>
    <t>Temperature, dew point</t>
  </si>
  <si>
    <t>Dew point temperature</t>
  </si>
  <si>
    <t>Temperature, transducer signal</t>
  </si>
  <si>
    <t>Temperature, raw data from sensor</t>
  </si>
  <si>
    <t>Transpiration</t>
  </si>
  <si>
    <t>TSI</t>
  </si>
  <si>
    <t>Carlson Trophic State Index is a measurement of eutrophication based on Secchi depth</t>
  </si>
  <si>
    <t>Vapor pressure</t>
  </si>
  <si>
    <t>The pressure of a vapor in equilibrium with its non-vapor phases</t>
  </si>
  <si>
    <t>Vapor pressure deficit</t>
  </si>
  <si>
    <t>The difference between the actual water vapor pressure and the saturation of water vapor pressure at a particular temperature.</t>
  </si>
  <si>
    <t>The velocity of a substance, fluid or object</t>
  </si>
  <si>
    <t>Visibility</t>
  </si>
  <si>
    <t>Voltage</t>
  </si>
  <si>
    <t>Voltage or Electrical Potential</t>
  </si>
  <si>
    <t>Volume. To quantify discharge or hydrograph volume or some other volume measurement.</t>
  </si>
  <si>
    <t>Volumetric water content</t>
  </si>
  <si>
    <t>Volume of liquid water relative to bulk volume. Used for example to quantify soil moisture</t>
  </si>
  <si>
    <t>Watchdog error count</t>
  </si>
  <si>
    <t>A counter which counts the number of total datalogger watchdog errors</t>
  </si>
  <si>
    <t>Water depth</t>
  </si>
  <si>
    <t>Water depth is the distance between the water surface and the bottom of the water body at a specific location specified by the site location and offset.</t>
  </si>
  <si>
    <t>Water depth, averaged</t>
  </si>
  <si>
    <t>Water depth averaged over a channel cross-section or water body. Â Averaging method to be specified in methods.</t>
  </si>
  <si>
    <t>Water flux</t>
  </si>
  <si>
    <t>Water Flux</t>
  </si>
  <si>
    <t>Water level</t>
  </si>
  <si>
    <t>Water level relative to datum. The datum may be local or global such as NGVD 1929 and should be specified in the method description for associated data values.</t>
  </si>
  <si>
    <t>Water potential</t>
  </si>
  <si>
    <t>Water potential is the potential energy of water relative to pure free water (e.g. deionized water) in reference conditions. It quantifies the tendency of water to move from one area to another due to osmosis, gravity, mechanical pressure, or matrix effects including surface tension.</t>
  </si>
  <si>
    <t>Water vapor concentration</t>
  </si>
  <si>
    <t>Water vapor, Water vapor concentration, concentration</t>
  </si>
  <si>
    <t>Water vapor density</t>
  </si>
  <si>
    <t>Well flow rate</t>
  </si>
  <si>
    <t>Flow rate from well while pumping</t>
  </si>
  <si>
    <t>Wellhead pressure</t>
  </si>
  <si>
    <t>The pressure exerted by the fluid at the wellhead or casinghead after the well has been shut off for a period of time, typically 24 hours</t>
  </si>
  <si>
    <t>Wind direction</t>
  </si>
  <si>
    <t>Wind direction, horizontal standard deviation</t>
  </si>
  <si>
    <t>Standard deviation of horizontal wind direction</t>
  </si>
  <si>
    <t>wind, wind direction, wind standard deviation</t>
  </si>
  <si>
    <t>Wind speed</t>
  </si>
  <si>
    <t>Zeaxanthin</t>
  </si>
  <si>
    <t>The phytoplankton pigment Zeaxanthin</t>
  </si>
  <si>
    <t>Zinc</t>
  </si>
  <si>
    <t>Zinc (Zn)</t>
  </si>
  <si>
    <t>Deployment Date/Time</t>
  </si>
  <si>
    <t>DataTypeID</t>
  </si>
  <si>
    <t>% Full Scale (4.5 feet)</t>
  </si>
  <si>
    <t>The percent of full scale for an instrument that measures between 0 and 4.5' of height.</t>
  </si>
  <si>
    <t>% Full Scale (5 psi)</t>
  </si>
  <si>
    <t>The percent of full scale for an instrument that measures between 0 and 5 psi.</t>
  </si>
  <si>
    <t>Vented Water Pressure</t>
  </si>
  <si>
    <t>Barometric Water Column Equivalent Height</t>
  </si>
  <si>
    <t>Absolute Water Column Equivalent Height</t>
  </si>
  <si>
    <t>Barometric pressure expressed as the height of an equivalent column of water.</t>
  </si>
  <si>
    <t>Absolute (barometric + water) pressure expressed as the height of an equivalent column of water.</t>
  </si>
  <si>
    <t>Absolute pressure (barometric + water).  This is often converted to water level after subtracting out the barometric pressure.</t>
  </si>
  <si>
    <t>The pressure of water on a sensor with a vented cable to correct for changes in barometric pressure.  This is generally directly converted to water level.</t>
  </si>
  <si>
    <t>A categorical variable marking the end of a data file.  This is used for quality control.</t>
  </si>
  <si>
    <t>A categorical variable indicating that a logger was told to stop recording data.  This is used for quality control.</t>
  </si>
  <si>
    <t>Logger Stopped</t>
  </si>
  <si>
    <t>A categorical variable marking the attachment of a coupler or data shuttle to a logger.  This is used for quality control.</t>
  </si>
  <si>
    <t>Data Shuttle Attached</t>
  </si>
  <si>
    <t>Data Shuttle Detached</t>
  </si>
  <si>
    <t>A categorical variable marking the detatchment of a coupler or data shuttle to a logger.  This is used for quality control.</t>
  </si>
  <si>
    <t>A categorical variable marking the attachment of a host computer to a logger.  This is used for quality control.</t>
  </si>
  <si>
    <t>Variable ID</t>
  </si>
  <si>
    <t>Variable UnitsID</t>
  </si>
  <si>
    <t>Sensor ID</t>
  </si>
  <si>
    <t>Site ID</t>
  </si>
  <si>
    <t>Deployment ID</t>
  </si>
  <si>
    <t>Logger M/M/SN</t>
  </si>
  <si>
    <t>Sensor M/M/SN</t>
  </si>
  <si>
    <t>Time Support Units ID</t>
  </si>
  <si>
    <t>Time Support Units Abbreviation</t>
  </si>
  <si>
    <t>Variable Units Abbreviation</t>
  </si>
  <si>
    <t>Data Type ID</t>
  </si>
  <si>
    <t>Data Type</t>
  </si>
  <si>
    <t>CensorCode</t>
  </si>
  <si>
    <t>QualifierCode</t>
  </si>
  <si>
    <t>Deployment Information:</t>
  </si>
  <si>
    <t>Deployment Time:</t>
  </si>
  <si>
    <t>Deployment Date:</t>
  </si>
  <si>
    <t>UTC Offset:</t>
  </si>
  <si>
    <t>Initials:</t>
  </si>
  <si>
    <t>Comments:</t>
  </si>
  <si>
    <t>Logger Manufacturer:</t>
  </si>
  <si>
    <t>Logger Model:</t>
  </si>
  <si>
    <t>Logger Serial Number:</t>
  </si>
  <si>
    <t>MediumTypeID</t>
  </si>
  <si>
    <t>Medium Type</t>
  </si>
  <si>
    <t>Soil</t>
  </si>
  <si>
    <t>Z Offset</t>
  </si>
  <si>
    <t>Number of Data Fields:</t>
  </si>
  <si>
    <t>Logger Script File</t>
  </si>
  <si>
    <t>Field Number</t>
  </si>
  <si>
    <t>Sensor Serial Number</t>
  </si>
  <si>
    <t>Variable Units</t>
  </si>
  <si>
    <t>Time Support Value</t>
  </si>
  <si>
    <t>Time Support Units</t>
  </si>
  <si>
    <t>Deployment Table</t>
  </si>
  <si>
    <t>concatenated value (for lookups)</t>
  </si>
  <si>
    <t>Variable</t>
  </si>
  <si>
    <t>Total</t>
  </si>
  <si>
    <t>Count of LoggerManufacturer</t>
  </si>
  <si>
    <t>Count of LoggerSerialNumber</t>
  </si>
  <si>
    <t>(blank)</t>
  </si>
  <si>
    <t>Count of LoggerModel</t>
  </si>
  <si>
    <t>Count of Sensor Type</t>
  </si>
  <si>
    <t>Count of Sensor Manufacturer</t>
  </si>
  <si>
    <t>Spectrol</t>
  </si>
  <si>
    <t>?</t>
  </si>
  <si>
    <t>Count of Sensor Model</t>
  </si>
  <si>
    <t>Count of SensorSN</t>
  </si>
  <si>
    <t>Count of UnitsType</t>
  </si>
  <si>
    <t>Variable Type</t>
  </si>
  <si>
    <t>Isotope Ratio</t>
  </si>
  <si>
    <t>Count of Variable Type</t>
  </si>
  <si>
    <t>OffsetUnitsID</t>
  </si>
  <si>
    <t>Data Series Table</t>
  </si>
  <si>
    <t>Concatenated for Vlookup</t>
  </si>
  <si>
    <t>DataSeriesID</t>
  </si>
  <si>
    <t>LoggerNotes</t>
  </si>
  <si>
    <t>50' Downhole Poly Cable #091589</t>
  </si>
  <si>
    <t>30' Downhole Poly Cable #88198</t>
  </si>
  <si>
    <t>30' Downhole Poly Cable #83447</t>
  </si>
  <si>
    <t>PDCR 1830 (30psi)</t>
  </si>
  <si>
    <t>PDCR 1830 (5psi)</t>
  </si>
  <si>
    <t>SensorNotes</t>
  </si>
  <si>
    <t>PDCR 1830-8335</t>
  </si>
  <si>
    <t>MorrisRun</t>
  </si>
  <si>
    <t>MineHillRun</t>
  </si>
  <si>
    <t>HalfwayRun</t>
  </si>
  <si>
    <t>Hoboware</t>
  </si>
  <si>
    <t/>
  </si>
  <si>
    <t>CE</t>
  </si>
  <si>
    <t>Capacitive Water Level</t>
  </si>
  <si>
    <t>Capacitance</t>
  </si>
  <si>
    <t>Odyssey</t>
  </si>
  <si>
    <t>Data Cable #23591</t>
  </si>
  <si>
    <t>Data Cable #23654</t>
  </si>
  <si>
    <t>Data Cable #</t>
  </si>
  <si>
    <t>PDCR 1830-8335 (30psi)</t>
  </si>
  <si>
    <t>PDCR 1830-8335 (5psi)</t>
  </si>
  <si>
    <t xml:space="preserve"> </t>
  </si>
  <si>
    <t>\doc</t>
  </si>
  <si>
    <t>DEFAULT_PARAMETER. NoDataValue=-9999</t>
  </si>
  <si>
    <t>DEFAULT_PARAMETER. CensorCode=nc</t>
  </si>
  <si>
    <t>\header</t>
  </si>
  <si>
    <t>KEYWORDS.  Data Output, Raw</t>
  </si>
  <si>
    <t>DEFAULT_PARAMETER. DataLevel=0</t>
  </si>
  <si>
    <t>Raw Logger Output</t>
  </si>
  <si>
    <t>Raw</t>
  </si>
  <si>
    <t>farad</t>
  </si>
  <si>
    <t>Electrical Capacitance</t>
  </si>
  <si>
    <t>F</t>
  </si>
  <si>
    <t>The raw output from a datalogger, often in bits</t>
  </si>
  <si>
    <t>ABSTRACT.   This header applies to data logged with an Arduino datalogger and saved onto a local SD card.  These loggers were created by the Stroud Water Research Center for the Christiana River Basin CZO.  For more information about these loggers, please see http://www.stroudcenter.org/research/projects/czo/arduino.shtm.  For more information about the structure of this header file, please see http://71.185.29.35/stroudwater/Data/Summary.aspx</t>
  </si>
  <si>
    <t>Organization</t>
  </si>
  <si>
    <t>Phone</t>
  </si>
  <si>
    <t>Email</t>
  </si>
  <si>
    <t>Stroud Water Research Center</t>
  </si>
  <si>
    <t>610-268-2153 x 248</t>
  </si>
  <si>
    <t>sgeleskie@stroudcenter.org</t>
  </si>
  <si>
    <t>610-268-2153 x 267</t>
  </si>
  <si>
    <t>shicks@stroudcenter.org</t>
  </si>
  <si>
    <t>AKA</t>
  </si>
  <si>
    <t>610-268-2153 x 263</t>
  </si>
  <si>
    <t>aufdenkampe@stroudcenter.org</t>
  </si>
  <si>
    <t>DLK</t>
  </si>
  <si>
    <t>610-268-2153 x 274</t>
  </si>
  <si>
    <t>dkarwan@stroudcenter.org</t>
  </si>
  <si>
    <t>ContactName</t>
  </si>
  <si>
    <t>ContactInitials</t>
  </si>
  <si>
    <t>Address</t>
  </si>
  <si>
    <t>City</t>
  </si>
  <si>
    <t>State</t>
  </si>
  <si>
    <t>ZipCode</t>
  </si>
  <si>
    <t>970 Spencer Road</t>
  </si>
  <si>
    <t>Avondale</t>
  </si>
  <si>
    <t>PA</t>
  </si>
  <si>
    <t>814-441-1300</t>
  </si>
  <si>
    <t>PhoneAlternate</t>
  </si>
  <si>
    <t>610-620-4294</t>
  </si>
  <si>
    <t>203-906-6137</t>
  </si>
  <si>
    <t>640-290-2812</t>
  </si>
  <si>
    <t>JDN</t>
  </si>
  <si>
    <t>610-268-2153 x 227</t>
  </si>
  <si>
    <t>610-869-3455</t>
  </si>
  <si>
    <t>newbold@stroudcenter.org</t>
  </si>
  <si>
    <t>MLA</t>
  </si>
  <si>
    <t>610-268-2153 x 231</t>
  </si>
  <si>
    <t>marnold@stroudcenter.org</t>
  </si>
  <si>
    <t>Department</t>
  </si>
  <si>
    <t>Title</t>
  </si>
  <si>
    <t>Ecosystem Processes</t>
  </si>
  <si>
    <t>Adjunct Scientist</t>
  </si>
  <si>
    <t xml:space="preserve">banderson@stroudcenter.org </t>
  </si>
  <si>
    <t>Arnold, Melanie</t>
  </si>
  <si>
    <t>Information Services</t>
  </si>
  <si>
    <t>Data Analyst</t>
  </si>
  <si>
    <t>Arscott, Dr. David</t>
  </si>
  <si>
    <t>Admin &amp; Finance</t>
  </si>
  <si>
    <t>Assistant Director</t>
  </si>
  <si>
    <t>darscott@stroudcenter.org</t>
  </si>
  <si>
    <t>Aufdenkampe, Dr. Anthony</t>
  </si>
  <si>
    <t>Organic Geochemistry</t>
  </si>
  <si>
    <t>Associate Research Scientist</t>
  </si>
  <si>
    <t>Battle, Juliann</t>
  </si>
  <si>
    <t>Entomology</t>
  </si>
  <si>
    <t>Research Technician</t>
  </si>
  <si>
    <t>jbattle@stroudcenter.org</t>
  </si>
  <si>
    <t>Blaine, Dr. James</t>
  </si>
  <si>
    <t>jblaine1945@gmail.com</t>
  </si>
  <si>
    <t>Borecki, Laura</t>
  </si>
  <si>
    <t>Fish Molecular Ecology</t>
  </si>
  <si>
    <t>lborecki@stroudcenter.org</t>
  </si>
  <si>
    <t>Bott, Dr. Thomas</t>
  </si>
  <si>
    <t>Microbiology</t>
  </si>
  <si>
    <t>Vice President, Emeritus Research Scientist</t>
  </si>
  <si>
    <t>tlbott@stroudcenter.org</t>
  </si>
  <si>
    <t>Brooks, Heather</t>
  </si>
  <si>
    <t>Web Developer, Data Analyst</t>
  </si>
  <si>
    <t>hbrooks@stroudcenter.org</t>
  </si>
  <si>
    <t>Broomall, Michael</t>
  </si>
  <si>
    <t>mbroomall@stroudcenter.org</t>
  </si>
  <si>
    <t>Carter, Dr. Linda</t>
  </si>
  <si>
    <t>Other Research</t>
  </si>
  <si>
    <t>Research Associate</t>
  </si>
  <si>
    <t>lcarter@stroudcenter.org</t>
  </si>
  <si>
    <t>Dix, Stephanie</t>
  </si>
  <si>
    <t>Geochemist, Level II</t>
  </si>
  <si>
    <t>sdix@stroudcenter.org</t>
  </si>
  <si>
    <t>Dixon, Katherine</t>
  </si>
  <si>
    <t>Outreach</t>
  </si>
  <si>
    <t>Associate Development Director</t>
  </si>
  <si>
    <t>kdixon@stroudcenter.org</t>
  </si>
  <si>
    <t>Dow, Dr. Charles</t>
  </si>
  <si>
    <t>Director of Computing Services</t>
  </si>
  <si>
    <t>cdow@stroudcenter.org</t>
  </si>
  <si>
    <t>Eldridge, Dr. William</t>
  </si>
  <si>
    <t>Assistant Research Scientist</t>
  </si>
  <si>
    <t>weldridge@stroudcenter.org</t>
  </si>
  <si>
    <t>Funk, David</t>
  </si>
  <si>
    <t>Entomologist</t>
  </si>
  <si>
    <t>dhfunk@stroudcenter.org</t>
  </si>
  <si>
    <t>Geleskie, Sara</t>
  </si>
  <si>
    <t>Gentile, Michael</t>
  </si>
  <si>
    <t>Biogeochemistry</t>
  </si>
  <si>
    <t>mgentile@stroudcenter.org</t>
  </si>
  <si>
    <t>Gill, Dr. Susan</t>
  </si>
  <si>
    <t>Education</t>
  </si>
  <si>
    <t>Director of Education</t>
  </si>
  <si>
    <t>sgill@stroudcenter.org</t>
  </si>
  <si>
    <t>Gregg, Elizabeth</t>
  </si>
  <si>
    <t>Systems Administrator</t>
  </si>
  <si>
    <t>lgregg@stroudcenter.org</t>
  </si>
  <si>
    <t>Hicks, Steven</t>
  </si>
  <si>
    <t>Research Technician III</t>
  </si>
  <si>
    <t>Huskinson, Diane</t>
  </si>
  <si>
    <t>dhuskinson@stroudcenter.org</t>
  </si>
  <si>
    <t>Jackson, Dr. John</t>
  </si>
  <si>
    <t>jkjackson@stroudcenter.org</t>
  </si>
  <si>
    <t>Kan, Dr. Jinjun</t>
  </si>
  <si>
    <t>jkan@stroudcenter.org</t>
  </si>
  <si>
    <t>Kaplan, Dr. Louis</t>
  </si>
  <si>
    <t>Senior Research Scientist</t>
  </si>
  <si>
    <t>lakaplan@stroudcenter.org</t>
  </si>
  <si>
    <t>Karwan, Dr. Diana</t>
  </si>
  <si>
    <t>Postdoctoral Researcher, CZO</t>
  </si>
  <si>
    <t>Kline, Frank</t>
  </si>
  <si>
    <t>Volunteers</t>
  </si>
  <si>
    <t>Volunteer</t>
  </si>
  <si>
    <t>Lazareza, Dr. Olesya</t>
  </si>
  <si>
    <t>DENIN</t>
  </si>
  <si>
    <t>olesyalaz@gmail.com</t>
  </si>
  <si>
    <t>Lisi, Kristine</t>
  </si>
  <si>
    <t>Director of Development</t>
  </si>
  <si>
    <t>klisi@stroudcenter.org</t>
  </si>
  <si>
    <t>McLaughlin, Chris</t>
  </si>
  <si>
    <t>Ph.D. candidate</t>
  </si>
  <si>
    <t>chmc@sas.upenn.edu</t>
  </si>
  <si>
    <t>Medved, Christina</t>
  </si>
  <si>
    <t>Education Programs Manager, Leaf Pack Network® Administrator</t>
  </si>
  <si>
    <t>cmedved@stroudcenter.org</t>
  </si>
  <si>
    <t>Milliken, William</t>
  </si>
  <si>
    <t>Facilities</t>
  </si>
  <si>
    <t>Maintenance Mechanic</t>
  </si>
  <si>
    <t>wmilliken@stroudcenter.org</t>
  </si>
  <si>
    <t>Montgomery, David</t>
  </si>
  <si>
    <t>davemont@stroudcenter.org</t>
  </si>
  <si>
    <t>Mosher, Jen</t>
  </si>
  <si>
    <t>Postdoctoral Researcher</t>
  </si>
  <si>
    <t>jmosher@stroudcenter.org</t>
  </si>
  <si>
    <t>Newbold, Dr. J. Denis</t>
  </si>
  <si>
    <t>Research Scientist</t>
  </si>
  <si>
    <t>Peirson, Sally</t>
  </si>
  <si>
    <t>speirson@stroudcenter.org</t>
  </si>
  <si>
    <t>Pepe, John</t>
  </si>
  <si>
    <t>Controller</t>
  </si>
  <si>
    <t>jdpepe@stroudcenter.org</t>
  </si>
  <si>
    <t>Prigg, Tonya</t>
  </si>
  <si>
    <t>Janitorial Services</t>
  </si>
  <si>
    <t>Roberts, Sherman</t>
  </si>
  <si>
    <t>sroberts@stroudcenter.org</t>
  </si>
  <si>
    <t>Romero, Salomon</t>
  </si>
  <si>
    <t>Woodlot Technician</t>
  </si>
  <si>
    <t>Rosier, Dr. Carl</t>
  </si>
  <si>
    <t>crosier@udel.edu</t>
  </si>
  <si>
    <t>Sowden, Jane</t>
  </si>
  <si>
    <t>jsowden@stroudcenter.org</t>
  </si>
  <si>
    <t>Sweeney, Dr. Bernard</t>
  </si>
  <si>
    <t>President, Director</t>
  </si>
  <si>
    <t>sweeney@stroudcenter.org</t>
  </si>
  <si>
    <t>Tinoco, Javier</t>
  </si>
  <si>
    <t>VonTill, Shelby</t>
  </si>
  <si>
    <t>Executive Administrative Assist.</t>
  </si>
  <si>
    <t>svontill@stroudcenter.org</t>
  </si>
  <si>
    <t>Weber, Roberta</t>
  </si>
  <si>
    <t>rmweber@stroudcenter.org</t>
  </si>
  <si>
    <t>Williams, Vivian</t>
  </si>
  <si>
    <t>Education Consultant</t>
  </si>
  <si>
    <t>vwilliamsee@gmail.com</t>
  </si>
  <si>
    <t>610-268-2153 x 278</t>
  </si>
  <si>
    <t>610-268-2153 x 256</t>
  </si>
  <si>
    <t>610-268-2153 x 268</t>
  </si>
  <si>
    <t>610-268-2153 x 275</t>
  </si>
  <si>
    <t>610-268-2153 x 224</t>
  </si>
  <si>
    <t>610-268-2153 x 257</t>
  </si>
  <si>
    <t>610-268-2153 x 225</t>
  </si>
  <si>
    <t>610-268-2153 x 247</t>
  </si>
  <si>
    <t>610-268-2153 x 259</t>
  </si>
  <si>
    <t>610-268-2153 x 272</t>
  </si>
  <si>
    <t>610-268-2153 x 237</t>
  </si>
  <si>
    <t>610-268-2153 x 270</t>
  </si>
  <si>
    <t>610-268-2153 x 238</t>
  </si>
  <si>
    <t>610-268-2153 x 229</t>
  </si>
  <si>
    <t>610-268-2153 x 226</t>
  </si>
  <si>
    <t>610-268-2153 x 280</t>
  </si>
  <si>
    <t>610-268-2153 x 228</t>
  </si>
  <si>
    <t>610-268-2153 x 273</t>
  </si>
  <si>
    <t>610-268-2153 x 230</t>
  </si>
  <si>
    <t>610-268-2153 x 266</t>
  </si>
  <si>
    <t>610-268-2153 x 258</t>
  </si>
  <si>
    <t>610-268-2153 x 251</t>
  </si>
  <si>
    <t>610-268-2153 x 235</t>
  </si>
  <si>
    <t>610-268-2153 x 277</t>
  </si>
  <si>
    <t>610-268-2153 x 233</t>
  </si>
  <si>
    <t>610-268-2153 x 253</t>
  </si>
  <si>
    <t>610-268-2153 x 269</t>
  </si>
  <si>
    <t>610-268-2153 x 240</t>
  </si>
  <si>
    <t>610-268-2153 x 222</t>
  </si>
  <si>
    <t>610-268-2153 x 223</t>
  </si>
  <si>
    <t>610-268-2153 x 264</t>
  </si>
  <si>
    <t>University of Delaware</t>
  </si>
  <si>
    <t>DE</t>
  </si>
  <si>
    <t>Newark</t>
  </si>
  <si>
    <t>Anderson, William</t>
  </si>
  <si>
    <t>WCA</t>
  </si>
  <si>
    <t>DBA</t>
  </si>
  <si>
    <t>TLB</t>
  </si>
  <si>
    <t>SAD</t>
  </si>
  <si>
    <t>FGK</t>
  </si>
  <si>
    <t>CHM</t>
  </si>
  <si>
    <t>WM</t>
  </si>
  <si>
    <t>DSM</t>
  </si>
  <si>
    <t>SLR</t>
  </si>
  <si>
    <t>BWS</t>
  </si>
  <si>
    <t>Mei, Yi</t>
  </si>
  <si>
    <t>yi.mei@vanderbilt.edu</t>
  </si>
  <si>
    <t>Graduate Student</t>
  </si>
  <si>
    <t>Vanderbuilt University</t>
  </si>
  <si>
    <t>610-316-9616</t>
  </si>
  <si>
    <t>610-247-1287</t>
  </si>
  <si>
    <t>610-925-5978</t>
  </si>
  <si>
    <t>484-889-6596</t>
  </si>
  <si>
    <t>610-368-6330</t>
  </si>
  <si>
    <t>484-486-3418</t>
  </si>
  <si>
    <t>717-383-1179</t>
  </si>
  <si>
    <t>Communications Consultant</t>
  </si>
  <si>
    <t>COL1.  value=DateTime,  format = yyyyMMdd H:mm</t>
  </si>
  <si>
    <t>Concatenated</t>
  </si>
  <si>
    <t>Step 2:
Add Information to DataSeries Table and Create Header</t>
  </si>
  <si>
    <t>Instructions for use:</t>
  </si>
  <si>
    <t>Step 1:  Verify that all information about the datalogger to be deployed is in the "Logger" worksheet.  Update all pivot tables on that worksheet.</t>
  </si>
  <si>
    <t>Step 2:  Verify that all information about all sensors to be deployed is in the "Sensors" worksheet.  Update all pivot tables on that worksheet.</t>
  </si>
  <si>
    <t>Step 3:  On the "Data Entry" worksheet fill out all information in the "Deployment Information" box using the drop-down selections.</t>
  </si>
  <si>
    <t>Warning:  This is not a very smooth system.  Don't even attempt it if you don't know what you're doing.  Even if you think you know what you're doing, read over the directions and make sure you follow them exactly!</t>
  </si>
  <si>
    <t>Step 5:  In the "Data Entry" worksheet, type in the number of data fields that will be generated by the logger.</t>
  </si>
  <si>
    <t>Sensor Data Series Information</t>
  </si>
  <si>
    <t>Step 6:  In the "Data Entry" worksheet, fill out ALL of the information requested in the "Sensor Data Series Information" block.</t>
  </si>
  <si>
    <t>Step 4:  Copy VALUES from the "Deployment Table" box on the "Data Entry" worksheet to the bottom of the "Deployment" worksheet.  (Use paste-special to copy only the values!)  In the future, we hope to have this step completed by an excel macro.</t>
  </si>
  <si>
    <t>Step 7:  Copy the VALUES from "Data Series Table" box on the "Data Entry" worksheet to the bottom of the "Deployment" worksheet.  (Use paste-special to copy only the values!)  In the future, we hope to have this step completed by an excel macro.</t>
  </si>
  <si>
    <t>Step 8:  Copy the header generated in the "Header-Verbose" worksheet into the data-logger file.</t>
  </si>
  <si>
    <r>
      <rPr>
        <i/>
        <sz val="10"/>
        <rFont val="Arial"/>
        <family val="2"/>
      </rPr>
      <t>Don’t even think</t>
    </r>
    <r>
      <rPr>
        <sz val="10"/>
        <rFont val="Arial"/>
        <family val="2"/>
      </rPr>
      <t xml:space="preserve"> about changing any fields in this table unless you have an order, signed in triplicate, sent in, sent back, queried, lost, found, subjected to public enquiry, lost again, and finally buried in soft peat for three months and recycled as firelighters.</t>
    </r>
  </si>
  <si>
    <t>Step 9:  Great job!  Relax and enjoy some Vogon poetry.</t>
  </si>
  <si>
    <t>COL2.  value=UTCOffset,  format = H:mm</t>
  </si>
  <si>
    <t>COL3.  value=LoggerID,  format = yyyyMMdd H:mm</t>
  </si>
  <si>
    <t>Step 1:
Add deployment information.</t>
  </si>
  <si>
    <t>1st Data Series Row:</t>
  </si>
  <si>
    <t>Last Data Series Row:</t>
  </si>
  <si>
    <t>Installation ID</t>
  </si>
  <si>
    <t>Installation</t>
  </si>
  <si>
    <t>Lateral Offset Direction</t>
  </si>
  <si>
    <t>Lateral Offset Distnace</t>
  </si>
  <si>
    <t>CalibrationDate</t>
  </si>
  <si>
    <t>PersonId</t>
  </si>
  <si>
    <t>EquationToAquarius</t>
  </si>
  <si>
    <t>CalibrationComments</t>
  </si>
  <si>
    <t>Site Name Code</t>
  </si>
  <si>
    <t>Site Full Name</t>
  </si>
  <si>
    <t>Site Type</t>
  </si>
  <si>
    <t>LatLong Datum</t>
  </si>
  <si>
    <t>LatLonSource</t>
  </si>
  <si>
    <t>Reach Length</t>
  </si>
  <si>
    <t>Elevation</t>
  </si>
  <si>
    <t>Vertical Datum</t>
  </si>
  <si>
    <t>ElevSource</t>
  </si>
  <si>
    <t>LocalX</t>
  </si>
  <si>
    <t>LocalY</t>
  </si>
  <si>
    <t>Local Projection</t>
  </si>
  <si>
    <t>LocalXYSource</t>
  </si>
  <si>
    <t>Positional Accuracy</t>
  </si>
  <si>
    <t>StreamMeter??</t>
  </si>
  <si>
    <t>StreamMeterRefPoint??</t>
  </si>
  <si>
    <t>Contact</t>
  </si>
  <si>
    <t>Date Added</t>
  </si>
  <si>
    <t>CZO Sites</t>
  </si>
  <si>
    <t>Inactive</t>
  </si>
  <si>
    <t>Brief code that collects the data to identify the site.</t>
  </si>
  <si>
    <t>Full name of the sampling site</t>
  </si>
  <si>
    <t>Use drop-down arrow to select.  See SiteTypes tab.</t>
  </si>
  <si>
    <t>decimal degrees</t>
  </si>
  <si>
    <t>Spatial Reference System of the latitude and longitude coordinates.  Use drop-down arrow to select.  See SpatialReferences tab.</t>
  </si>
  <si>
    <t>Device Model or Map Source</t>
  </si>
  <si>
    <t>Length of stream reach in meters (only if SiteType = "reach")</t>
  </si>
  <si>
    <t>meters</t>
  </si>
  <si>
    <t>Vertical datum of the elevation.  Use drop-down arrow to select.  See SpatialReferences tab.</t>
  </si>
  <si>
    <t>Local Projection X coordinate.</t>
  </si>
  <si>
    <t xml:space="preserve">Local Projection Y Coordinate. </t>
  </si>
  <si>
    <t>Spatial Reference System of the local coordinates.  Use drop-down arrow to select.  See tab SpatialReferences.</t>
  </si>
  <si>
    <t>Value giving the accuracy with which the positional information is specified.</t>
  </si>
  <si>
    <t>meters, positive defined as upstream of Reference site</t>
  </si>
  <si>
    <t>Site Name Code for 0 m reference mark</t>
  </si>
  <si>
    <t>Use drop-down arrow to select.  See People tab.</t>
  </si>
  <si>
    <t>X' if site should be included in CRBCZO list</t>
  </si>
  <si>
    <t>X if site should be considered inactive and not available for selection via drop-downs</t>
  </si>
  <si>
    <t>SensorID</t>
  </si>
  <si>
    <t>SensorType</t>
  </si>
  <si>
    <t>SensorManufacturer</t>
  </si>
  <si>
    <t>SensorModel</t>
  </si>
  <si>
    <t>SensorSerialNumber</t>
  </si>
  <si>
    <t>CalibrationID</t>
  </si>
  <si>
    <t>x1DataSeriesID</t>
  </si>
  <si>
    <t>x2DataSeriesID</t>
  </si>
  <si>
    <t>InstallationID</t>
  </si>
  <si>
    <t>VariableUnitsID</t>
  </si>
  <si>
    <t>ValueOrderNumber</t>
  </si>
  <si>
    <t>TimeSuppportValue</t>
  </si>
  <si>
    <t>TimeSupportUnitsID</t>
  </si>
  <si>
    <t>LateralOffsetDistance</t>
  </si>
  <si>
    <t>LateralOffsetDirection</t>
  </si>
  <si>
    <t>VerticalOffset</t>
  </si>
  <si>
    <t>LoggerScriptFile</t>
  </si>
  <si>
    <t>DeploymentDateTime</t>
  </si>
  <si>
    <t>DeploymentEndDateTime</t>
  </si>
  <si>
    <t>VariableType</t>
  </si>
  <si>
    <t>meter of water</t>
  </si>
  <si>
    <t>m H2O</t>
  </si>
  <si>
    <t>WCC718</t>
  </si>
  <si>
    <t>WCD696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</si>
</sst>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
    <numFmt numFmtId="165" formatCode="dd\-mmm\-yy\ hh:mm"/>
  </numFmts>
  <fonts count="17" x14ac:knownFonts="1">
    <font>
      <sz val="10"/>
      <name val="Arial"/>
    </font>
    <font>
      <sz val="8"/>
      <name val="Arial"/>
      <family val="2"/>
    </font>
    <font>
      <sz val="10"/>
      <name val="Arial"/>
      <family val="2"/>
    </font>
    <font>
      <b/>
      <sz val="14"/>
      <color indexed="10"/>
      <name val="Arial"/>
      <family val="2"/>
    </font>
    <font>
      <b/>
      <sz val="10"/>
      <name val="Arial"/>
      <family val="2"/>
    </font>
    <font>
      <b/>
      <sz val="11"/>
      <color rgb="FFFFFFFF"/>
      <name val="Calibri"/>
      <family val="2"/>
      <scheme val="minor"/>
    </font>
    <font>
      <sz val="8"/>
      <color rgb="FF0070C0"/>
      <name val="Arial"/>
      <family val="2"/>
    </font>
    <font>
      <b/>
      <sz val="12"/>
      <name val="Arial"/>
      <family val="2"/>
    </font>
    <font>
      <sz val="10"/>
      <name val="Arial"/>
      <family val="2"/>
    </font>
    <font>
      <sz val="10"/>
      <color rgb="FF0070C0"/>
      <name val="Arial"/>
      <family val="2"/>
    </font>
    <font>
      <sz val="10"/>
      <color theme="8"/>
      <name val="Arial"/>
      <family val="2"/>
    </font>
    <font>
      <u/>
      <sz val="10"/>
      <color theme="10"/>
      <name val="Arial"/>
      <family val="2"/>
    </font>
    <font>
      <i/>
      <sz val="10"/>
      <name val="Arial"/>
      <family val="2"/>
    </font>
    <font>
      <b/>
      <sz val="10"/>
      <color rgb="FF4F6228"/>
      <name val="Arial"/>
      <family val="2"/>
    </font>
    <font>
      <b/>
      <sz val="12"/>
      <color rgb="FF0000D4"/>
      <name val="Arial"/>
      <family val="2"/>
    </font>
    <font>
      <b/>
      <sz val="12"/>
      <color rgb="FF006411"/>
      <name val="Arial"/>
      <family val="2"/>
    </font>
    <font>
      <b/>
      <sz val="10"/>
      <color indexed="10"/>
      <name val="Arial"/>
      <family val="2"/>
    </font>
  </fonts>
  <fills count="9">
    <fill>
      <patternFill patternType="none"/>
    </fill>
    <fill>
      <patternFill patternType="gray125"/>
    </fill>
    <fill>
      <patternFill patternType="solid">
        <fgColor rgb="FF000084"/>
        <bgColor indexed="64"/>
      </patternFill>
    </fill>
    <fill>
      <patternFill patternType="solid">
        <fgColor rgb="FFEEEEEE"/>
        <bgColor indexed="64"/>
      </patternFill>
    </fill>
    <fill>
      <patternFill patternType="solid">
        <fgColor rgb="FFDCDCDC"/>
        <bgColor indexed="64"/>
      </patternFill>
    </fill>
    <fill>
      <patternFill patternType="solid">
        <fgColor rgb="FFFFFF66"/>
        <bgColor auto="1"/>
      </patternFill>
    </fill>
    <fill>
      <patternFill patternType="solid">
        <fgColor rgb="FFFFFF66"/>
        <bgColor indexed="64"/>
      </patternFill>
    </fill>
    <fill>
      <patternFill patternType="solid">
        <fgColor indexed="44"/>
        <bgColor indexed="64"/>
      </patternFill>
    </fill>
    <fill>
      <patternFill patternType="solid">
        <fgColor indexed="22"/>
        <bgColor indexed="64"/>
      </patternFill>
    </fill>
  </fills>
  <borders count="53">
    <border>
      <left/>
      <right/>
      <top/>
      <bottom/>
      <diagonal/>
    </border>
    <border>
      <left style="thin">
        <color rgb="FF000000"/>
      </left>
      <right style="thin">
        <color rgb="FF000000"/>
      </right>
      <top style="thin">
        <color rgb="FF000000"/>
      </top>
      <bottom style="thin">
        <color rgb="FF000000"/>
      </bottom>
      <diagonal/>
    </border>
    <border>
      <left/>
      <right style="medium">
        <color auto="1"/>
      </right>
      <top/>
      <bottom/>
      <diagonal/>
    </border>
    <border>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medium">
        <color auto="1"/>
      </bottom>
      <diagonal/>
    </border>
    <border>
      <left/>
      <right/>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medium">
        <color auto="1"/>
      </top>
      <bottom style="double">
        <color auto="1"/>
      </bottom>
      <diagonal/>
    </border>
    <border>
      <left/>
      <right/>
      <top style="medium">
        <color auto="1"/>
      </top>
      <bottom style="double">
        <color auto="1"/>
      </bottom>
      <diagonal/>
    </border>
    <border>
      <left/>
      <right style="medium">
        <color auto="1"/>
      </right>
      <top style="medium">
        <color auto="1"/>
      </top>
      <bottom style="double">
        <color auto="1"/>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style="double">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hair">
        <color auto="1"/>
      </right>
      <top style="medium">
        <color auto="1"/>
      </top>
      <bottom style="double">
        <color auto="1"/>
      </bottom>
      <diagonal/>
    </border>
    <border>
      <left style="hair">
        <color auto="1"/>
      </left>
      <right style="hair">
        <color auto="1"/>
      </right>
      <top style="medium">
        <color auto="1"/>
      </top>
      <bottom style="double">
        <color auto="1"/>
      </bottom>
      <diagonal/>
    </border>
    <border>
      <left style="hair">
        <color auto="1"/>
      </left>
      <right style="medium">
        <color auto="1"/>
      </right>
      <top style="medium">
        <color auto="1"/>
      </top>
      <bottom style="double">
        <color auto="1"/>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style="thin">
        <color indexed="8"/>
      </left>
      <right/>
      <top style="thin">
        <color indexed="8"/>
      </top>
      <bottom/>
      <diagonal/>
    </border>
    <border>
      <left style="thin">
        <color indexed="65"/>
      </left>
      <right/>
      <top style="thin">
        <color indexed="8"/>
      </top>
      <bottom/>
      <diagonal/>
    </border>
    <border>
      <left style="thin">
        <color indexed="8"/>
      </left>
      <right/>
      <top style="thin">
        <color indexed="65"/>
      </top>
      <bottom/>
      <diagonal/>
    </border>
    <border>
      <left style="thin">
        <color indexed="8"/>
      </left>
      <right/>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style="double">
        <color auto="1"/>
      </top>
      <bottom/>
      <diagonal/>
    </border>
    <border>
      <left/>
      <right style="medium">
        <color auto="1"/>
      </right>
      <top style="double">
        <color auto="1"/>
      </top>
      <bottom/>
      <diagonal/>
    </border>
    <border>
      <left style="medium">
        <color auto="1"/>
      </left>
      <right/>
      <top/>
      <bottom/>
      <diagonal/>
    </border>
    <border>
      <left style="medium">
        <color auto="1"/>
      </left>
      <right/>
      <top/>
      <bottom style="medium">
        <color auto="1"/>
      </bottom>
      <diagonal/>
    </border>
    <border>
      <left style="medium">
        <color auto="1"/>
      </left>
      <right style="thin">
        <color auto="1"/>
      </right>
      <top style="double">
        <color auto="1"/>
      </top>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16"/>
      </left>
      <right style="medium">
        <color indexed="16"/>
      </right>
      <top style="medium">
        <color indexed="16"/>
      </top>
      <bottom style="medium">
        <color indexed="16"/>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bottom/>
      <diagonal/>
    </border>
  </borders>
  <cellStyleXfs count="2">
    <xf numFmtId="0" fontId="0" fillId="0" borderId="0"/>
    <xf numFmtId="0" fontId="11" fillId="0" borderId="0" applyNumberFormat="0" applyFill="0" applyBorder="0" applyAlignment="0" applyProtection="0"/>
  </cellStyleXfs>
  <cellXfs count="116">
    <xf numFmtId="0" fontId="0" fillId="0" borderId="0" xfId="0"/>
    <xf numFmtId="0" fontId="0" fillId="0" borderId="0" xfId="0" applyAlignment="1"/>
    <xf numFmtId="0" fontId="0" fillId="0" borderId="0" xfId="0" applyAlignment="1">
      <alignment wrapText="1"/>
    </xf>
    <xf numFmtId="0" fontId="3" fillId="0" borderId="0" xfId="0" applyFont="1"/>
    <xf numFmtId="164" fontId="0" fillId="0" borderId="0" xfId="0" applyNumberFormat="1"/>
    <xf numFmtId="164" fontId="0" fillId="0" borderId="0" xfId="0" applyNumberFormat="1" applyAlignment="1"/>
    <xf numFmtId="165" fontId="0" fillId="0" borderId="0" xfId="0" applyNumberFormat="1"/>
    <xf numFmtId="0" fontId="2" fillId="0" borderId="0" xfId="0" applyFont="1"/>
    <xf numFmtId="165" fontId="2" fillId="0" borderId="0" xfId="0" applyNumberFormat="1" applyFont="1"/>
    <xf numFmtId="0" fontId="4" fillId="0" borderId="0" xfId="0" applyFont="1"/>
    <xf numFmtId="0" fontId="4" fillId="0" borderId="0" xfId="0" applyFont="1" applyAlignment="1">
      <alignment wrapText="1"/>
    </xf>
    <xf numFmtId="0" fontId="5" fillId="2" borderId="1" xfId="0" applyFont="1"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165" fontId="6" fillId="0" borderId="0" xfId="0" applyNumberFormat="1" applyFont="1" applyAlignment="1">
      <alignment wrapText="1"/>
    </xf>
    <xf numFmtId="0" fontId="6" fillId="0" borderId="0" xfId="0" applyFont="1" applyAlignment="1">
      <alignment wrapText="1"/>
    </xf>
    <xf numFmtId="165" fontId="6" fillId="0" borderId="0" xfId="0" applyNumberFormat="1" applyFont="1"/>
    <xf numFmtId="0" fontId="6" fillId="0" borderId="0" xfId="0" applyFont="1"/>
    <xf numFmtId="0" fontId="0" fillId="0" borderId="2" xfId="0" applyBorder="1"/>
    <xf numFmtId="0" fontId="0" fillId="0" borderId="0" xfId="0" applyBorder="1"/>
    <xf numFmtId="0" fontId="0" fillId="0" borderId="7" xfId="0" applyBorder="1"/>
    <xf numFmtId="0" fontId="0" fillId="0" borderId="3"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9" fillId="0" borderId="0" xfId="0" applyFont="1" applyFill="1"/>
    <xf numFmtId="0" fontId="8" fillId="0" borderId="12" xfId="0" applyFont="1" applyBorder="1"/>
    <xf numFmtId="0" fontId="8" fillId="0" borderId="23" xfId="0" applyFont="1" applyBorder="1"/>
    <xf numFmtId="0" fontId="2" fillId="0" borderId="24" xfId="0" applyFont="1"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165" fontId="8" fillId="0" borderId="24" xfId="0" applyNumberFormat="1" applyFont="1" applyBorder="1"/>
    <xf numFmtId="0" fontId="0" fillId="0" borderId="29" xfId="0" applyBorder="1"/>
    <xf numFmtId="0" fontId="0" fillId="0" borderId="30" xfId="0" applyBorder="1"/>
    <xf numFmtId="0" fontId="0" fillId="0" borderId="31" xfId="0" applyBorder="1"/>
    <xf numFmtId="0" fontId="0" fillId="0" borderId="29" xfId="0" pivotButton="1" applyBorder="1"/>
    <xf numFmtId="0" fontId="0" fillId="0" borderId="32" xfId="0" applyBorder="1"/>
    <xf numFmtId="0" fontId="0" fillId="0" borderId="33" xfId="0" applyBorder="1"/>
    <xf numFmtId="0" fontId="0" fillId="0" borderId="33" xfId="0" applyNumberFormat="1" applyBorder="1"/>
    <xf numFmtId="0" fontId="0" fillId="0" borderId="34" xfId="0" applyNumberFormat="1" applyBorder="1"/>
    <xf numFmtId="0" fontId="0" fillId="0" borderId="0" xfId="0" applyNumberFormat="1"/>
    <xf numFmtId="0" fontId="0" fillId="0" borderId="35" xfId="0" applyBorder="1"/>
    <xf numFmtId="0" fontId="0" fillId="0" borderId="36" xfId="0" applyNumberFormat="1" applyBorder="1"/>
    <xf numFmtId="0" fontId="9" fillId="0" borderId="0" xfId="0" applyFont="1"/>
    <xf numFmtId="0" fontId="0" fillId="0" borderId="0" xfId="0" applyNumberFormat="1" applyBorder="1"/>
    <xf numFmtId="0" fontId="0" fillId="0" borderId="0" xfId="0" pivotButton="1"/>
    <xf numFmtId="165" fontId="0" fillId="0" borderId="27" xfId="0" applyNumberFormat="1" applyBorder="1"/>
    <xf numFmtId="14" fontId="0" fillId="5" borderId="4" xfId="0" applyNumberFormat="1" applyFill="1" applyBorder="1" applyAlignment="1">
      <alignment horizontal="center"/>
    </xf>
    <xf numFmtId="20" fontId="0" fillId="5" borderId="4" xfId="0" applyNumberFormat="1"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0" fillId="0" borderId="0" xfId="0" applyAlignment="1">
      <alignment horizontal="center"/>
    </xf>
    <xf numFmtId="0" fontId="0" fillId="6" borderId="6" xfId="0" applyFill="1" applyBorder="1" applyAlignment="1">
      <alignment horizontal="center"/>
    </xf>
    <xf numFmtId="0" fontId="8" fillId="5" borderId="4" xfId="0" applyFont="1" applyFill="1" applyBorder="1" applyAlignment="1">
      <alignment horizontal="center"/>
    </xf>
    <xf numFmtId="0" fontId="8" fillId="0" borderId="0" xfId="0" applyFont="1" applyAlignment="1">
      <alignment wrapText="1"/>
    </xf>
    <xf numFmtId="0" fontId="8" fillId="0" borderId="0" xfId="0" applyFont="1"/>
    <xf numFmtId="0" fontId="0" fillId="0" borderId="37" xfId="0" applyBorder="1"/>
    <xf numFmtId="0" fontId="0" fillId="0" borderId="38" xfId="0" applyNumberFormat="1" applyBorder="1"/>
    <xf numFmtId="0" fontId="0" fillId="0" borderId="39" xfId="0" applyBorder="1"/>
    <xf numFmtId="0" fontId="0" fillId="0" borderId="39" xfId="0" applyFill="1"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20" xfId="0" applyBorder="1"/>
    <xf numFmtId="0" fontId="10" fillId="0" borderId="0" xfId="0" applyFont="1"/>
    <xf numFmtId="0" fontId="8" fillId="0" borderId="0" xfId="0" applyFont="1" applyBorder="1"/>
    <xf numFmtId="0" fontId="8" fillId="0" borderId="13" xfId="0" applyFont="1" applyBorder="1"/>
    <xf numFmtId="0" fontId="11" fillId="0" borderId="0" xfId="1" applyAlignment="1"/>
    <xf numFmtId="0" fontId="0" fillId="0" borderId="0" xfId="0" applyAlignment="1">
      <alignment vertical="center"/>
    </xf>
    <xf numFmtId="0" fontId="11" fillId="0" borderId="0" xfId="1" applyAlignment="1">
      <alignment vertical="center"/>
    </xf>
    <xf numFmtId="0" fontId="8" fillId="0" borderId="0" xfId="0" applyFont="1" applyAlignment="1"/>
    <xf numFmtId="0" fontId="8" fillId="0" borderId="0" xfId="1" applyFont="1" applyAlignment="1">
      <alignment vertical="center"/>
    </xf>
    <xf numFmtId="0" fontId="8" fillId="0" borderId="0" xfId="0" applyFont="1" applyAlignment="1">
      <alignment vertical="center"/>
    </xf>
    <xf numFmtId="0" fontId="13" fillId="0" borderId="46" xfId="0" applyFont="1" applyBorder="1" applyAlignment="1">
      <alignment wrapText="1"/>
    </xf>
    <xf numFmtId="0" fontId="13" fillId="0" borderId="42" xfId="0" applyFont="1" applyBorder="1" applyAlignment="1">
      <alignment wrapText="1"/>
    </xf>
    <xf numFmtId="0" fontId="0" fillId="0" borderId="47" xfId="0" applyBorder="1" applyAlignment="1">
      <alignment horizontal="center"/>
    </xf>
    <xf numFmtId="0" fontId="0" fillId="0" borderId="3" xfId="0" applyBorder="1" applyAlignment="1">
      <alignment horizontal="center"/>
    </xf>
    <xf numFmtId="0" fontId="2" fillId="0" borderId="0" xfId="0" applyFont="1" applyAlignment="1">
      <alignment wrapText="1"/>
    </xf>
    <xf numFmtId="0" fontId="2" fillId="0" borderId="12" xfId="0" applyFont="1" applyBorder="1"/>
    <xf numFmtId="0" fontId="16" fillId="7" borderId="48" xfId="0" applyFont="1" applyFill="1" applyBorder="1"/>
    <xf numFmtId="0" fontId="4" fillId="7" borderId="48" xfId="0" applyFont="1" applyFill="1" applyBorder="1" applyAlignment="1">
      <alignment horizontal="center" wrapText="1"/>
    </xf>
    <xf numFmtId="0" fontId="4" fillId="7" borderId="48" xfId="0" applyFont="1" applyFill="1" applyBorder="1"/>
    <xf numFmtId="0" fontId="4" fillId="7" borderId="48" xfId="0" applyFont="1" applyFill="1" applyBorder="1" applyAlignment="1">
      <alignment horizontal="center"/>
    </xf>
    <xf numFmtId="0" fontId="1" fillId="8" borderId="49" xfId="0" applyFont="1" applyFill="1" applyBorder="1" applyAlignment="1">
      <alignment horizontal="center" wrapText="1"/>
    </xf>
    <xf numFmtId="0" fontId="1" fillId="8" borderId="50" xfId="0" applyFont="1" applyFill="1" applyBorder="1" applyAlignment="1">
      <alignment horizontal="center" wrapText="1"/>
    </xf>
    <xf numFmtId="0" fontId="1" fillId="8" borderId="48" xfId="0" applyFont="1" applyFill="1" applyBorder="1" applyAlignment="1">
      <alignment horizontal="center" wrapText="1"/>
    </xf>
    <xf numFmtId="0" fontId="1" fillId="8" borderId="48" xfId="0" applyFont="1" applyFill="1" applyBorder="1" applyAlignment="1">
      <alignment horizontal="center"/>
    </xf>
    <xf numFmtId="0" fontId="16" fillId="7" borderId="51" xfId="0" applyFont="1" applyFill="1" applyBorder="1" applyAlignment="1">
      <alignment horizontal="center"/>
    </xf>
    <xf numFmtId="0" fontId="0" fillId="4" borderId="52" xfId="0" applyFill="1" applyBorder="1" applyAlignment="1">
      <alignment wrapText="1"/>
    </xf>
    <xf numFmtId="0" fontId="0" fillId="4" borderId="52" xfId="0" applyFont="1" applyFill="1" applyBorder="1" applyAlignment="1">
      <alignment wrapText="1"/>
    </xf>
    <xf numFmtId="0" fontId="2" fillId="4" borderId="52" xfId="0" applyFont="1" applyFill="1" applyBorder="1" applyAlignment="1">
      <alignment wrapText="1"/>
    </xf>
    <xf numFmtId="0" fontId="7" fillId="0" borderId="20"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7" fillId="0" borderId="18" xfId="0" applyFont="1" applyBorder="1" applyAlignment="1">
      <alignment horizontal="center"/>
    </xf>
    <xf numFmtId="0" fontId="7" fillId="0" borderId="44" xfId="0" applyFont="1" applyBorder="1" applyAlignment="1">
      <alignment horizontal="center"/>
    </xf>
    <xf numFmtId="0" fontId="7" fillId="0" borderId="45" xfId="0" applyFont="1" applyBorder="1" applyAlignment="1">
      <alignment horizontal="center"/>
    </xf>
    <xf numFmtId="0" fontId="8" fillId="0" borderId="0" xfId="0" applyFont="1" applyAlignment="1">
      <alignment horizontal="center" vertical="center" wrapText="1"/>
    </xf>
    <xf numFmtId="0" fontId="2" fillId="0" borderId="0" xfId="0" applyFont="1" applyAlignment="1">
      <alignment horizontal="center" vertical="center" wrapText="1"/>
    </xf>
    <xf numFmtId="0" fontId="7" fillId="0" borderId="8" xfId="0" applyFont="1" applyBorder="1" applyAlignment="1">
      <alignment horizontal="center"/>
    </xf>
    <xf numFmtId="0" fontId="7" fillId="0" borderId="21" xfId="0" applyFont="1" applyBorder="1" applyAlignment="1">
      <alignment horizontal="center"/>
    </xf>
    <xf numFmtId="0" fontId="7" fillId="0" borderId="22" xfId="0" applyFont="1" applyBorder="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cellXfs>
  <cellStyles count="2">
    <cellStyle name="Hyperlink" xfId="1" builtinId="8"/>
    <cellStyle name="Normal" xfId="0" builtinId="0"/>
  </cellStyles>
  <dxfs count="2">
    <dxf>
      <fill>
        <patternFill>
          <bgColor rgb="FFFFFF66"/>
        </patternFill>
      </fill>
      <border>
        <vertical/>
        <horizontal/>
      </border>
    </dxf>
    <dxf>
      <fill>
        <patternFill>
          <bgColor rgb="FFFFFF66"/>
        </patternFill>
      </fill>
      <border>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4F6228"/>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pivotCacheDefinition" Target="pivotCache/pivotCacheDefinition9.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0</xdr:row>
          <xdr:rowOff>200025</xdr:rowOff>
        </xdr:from>
        <xdr:to>
          <xdr:col>5</xdr:col>
          <xdr:colOff>1038225</xdr:colOff>
          <xdr:row>4</xdr:row>
          <xdr:rowOff>152400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D4"/>
                  </a:solidFill>
                  <a:latin typeface="Arial"/>
                  <a:cs typeface="Arial"/>
                </a:rPr>
                <a:t>Copy/Paste Deployment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0</xdr:rowOff>
        </xdr:from>
        <xdr:to>
          <xdr:col>5</xdr:col>
          <xdr:colOff>1076325</xdr:colOff>
          <xdr:row>12</xdr:row>
          <xdr:rowOff>9525</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6411"/>
                  </a:solidFill>
                  <a:latin typeface="Arial"/>
                  <a:cs typeface="Arial"/>
                </a:rPr>
                <a:t>Copy/Paste Data Series Data</a:t>
              </a:r>
              <a:endParaRPr lang="en-US"/>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r:id="rId1" refreshedBy="Sara Geleskie" refreshedDate="40980.591025810187" createdVersion="4" refreshedVersion="4" minRefreshableVersion="3" recordCount="20">
  <cacheSource type="worksheet">
    <worksheetSource ref="C1:C50" sheet="Sensors"/>
  </cacheSource>
  <cacheFields count="1">
    <cacheField name="Sensor Type" numFmtId="0">
      <sharedItems containsBlank="1" count="4">
        <s v="Pressure/Stress"/>
        <s v="Potential Difference"/>
        <s v="Capacitance"/>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ara Geleskie" refreshedDate="40980.591044212961" createdVersion="4" refreshedVersion="4" minRefreshableVersion="3" recordCount="20">
  <cacheSource type="worksheet">
    <worksheetSource ref="C1:D50" sheet="Sensors"/>
  </cacheSource>
  <cacheFields count="2">
    <cacheField name="Sensor Type" numFmtId="0">
      <sharedItems containsBlank="1" count="4">
        <s v="Pressure/Stress"/>
        <s v="Potential Difference"/>
        <s v="Capacitance"/>
        <m/>
      </sharedItems>
    </cacheField>
    <cacheField name="Sensor Manufacturer" numFmtId="0">
      <sharedItems containsBlank="1" count="8">
        <s v="In-Situ"/>
        <s v="Solinst"/>
        <s v="Spectrol"/>
        <s v="Telog"/>
        <s v="Onset"/>
        <s v="Odyssey"/>
        <m/>
        <s v="Oddesy"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ara Geleskie" refreshedDate="40980.591089351852" createdVersion="4" refreshedVersion="4" minRefreshableVersion="3" recordCount="20">
  <cacheSource type="worksheet">
    <worksheetSource ref="C1:E50" sheet="Sensors"/>
  </cacheSource>
  <cacheFields count="3">
    <cacheField name="Sensor Type" numFmtId="0">
      <sharedItems containsBlank="1" count="4">
        <s v="Pressure/Stress"/>
        <s v="Potential Difference"/>
        <s v="Capacitance"/>
        <m/>
      </sharedItems>
    </cacheField>
    <cacheField name="Sensor Manufacturer" numFmtId="0">
      <sharedItems containsBlank="1" count="8">
        <s v="In-Situ"/>
        <s v="Solinst"/>
        <s v="Spectrol"/>
        <s v="Telog"/>
        <s v="Onset"/>
        <s v="Odyssey"/>
        <m/>
        <s v="Oddesy" u="1"/>
      </sharedItems>
    </cacheField>
    <cacheField name="Sensor Model" numFmtId="0">
      <sharedItems containsBlank="1" containsMixedTypes="1" containsNumber="1" containsInteger="1" minValue="535" maxValue="535" count="11">
        <s v="miniTROLL"/>
        <s v="BaroLogger Gold"/>
        <s v="LevelLogger Gold"/>
        <n v="535"/>
        <s v="2109e (Pressure)"/>
        <s v="PDCR 1830-8335"/>
        <s v="PDCR 1830 (5psi)"/>
        <s v="PDCR 1830 (30psi)"/>
        <s v="U20-001-01"/>
        <s v="Capacitive Water Level"/>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Sara Geleskie" refreshedDate="40980.591134490744" createdVersion="4" refreshedVersion="4" minRefreshableVersion="3" recordCount="20">
  <cacheSource type="worksheet">
    <worksheetSource ref="C1:F50" sheet="Sensors"/>
  </cacheSource>
  <cacheFields count="4">
    <cacheField name="Sensor Type" numFmtId="0">
      <sharedItems containsBlank="1" count="4">
        <s v="Pressure/Stress"/>
        <s v="Potential Difference"/>
        <s v="Capacitance"/>
        <m/>
      </sharedItems>
    </cacheField>
    <cacheField name="Sensor Manufacturer" numFmtId="0">
      <sharedItems containsBlank="1" count="8">
        <s v="In-Situ"/>
        <s v="Solinst"/>
        <s v="Spectrol"/>
        <s v="Telog"/>
        <s v="Onset"/>
        <s v="Odyssey"/>
        <m/>
        <s v="Oddesy" u="1"/>
      </sharedItems>
    </cacheField>
    <cacheField name="Sensor Model" numFmtId="0">
      <sharedItems containsBlank="1" containsMixedTypes="1" containsNumber="1" containsInteger="1" minValue="535" maxValue="535" count="11">
        <s v="miniTROLL"/>
        <s v="BaroLogger Gold"/>
        <s v="LevelLogger Gold"/>
        <n v="535"/>
        <s v="2109e (Pressure)"/>
        <s v="PDCR 1830-8335"/>
        <s v="PDCR 1830 (5psi)"/>
        <s v="PDCR 1830 (30psi)"/>
        <s v="U20-001-01"/>
        <s v="Capacitive Water Level"/>
        <m/>
      </sharedItems>
    </cacheField>
    <cacheField name="SensorSN" numFmtId="0">
      <sharedItems containsBlank="1" containsMixedTypes="1" containsNumber="1" containsInteger="1" minValue="1762" maxValue="2037685" count="21">
        <n v="1762"/>
        <n v="1876"/>
        <n v="1902"/>
        <n v="1026688"/>
        <n v="1027936"/>
        <n v="1038069"/>
        <n v="1038582"/>
        <s v="?"/>
        <s v="3379/2211"/>
        <n v="1813395"/>
        <n v="2002064"/>
        <n v="2037684"/>
        <n v="2037685"/>
        <n v="867579"/>
        <n v="867580"/>
        <n v="41048"/>
        <m/>
        <n v="22095" u="1"/>
        <n v="22071" u="1"/>
        <n v="22099" u="1"/>
        <n v="21914"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Sara Geleskie" refreshedDate="40980.591166666665" createdVersion="4" refreshedVersion="4" minRefreshableVersion="3" recordCount="20">
  <cacheSource type="worksheet">
    <worksheetSource ref="C1:C50" sheet="Logger"/>
  </cacheSource>
  <cacheFields count="1">
    <cacheField name="LoggerManufacturer" numFmtId="0">
      <sharedItems containsBlank="1" count="7">
        <s v="In-Situ"/>
        <s v="Solinst"/>
        <s v="Telog"/>
        <s v="Onset"/>
        <s v="Odyssey"/>
        <m/>
        <s v="Oddesy"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Sara Geleskie" refreshedDate="40980.591178935189" createdVersion="4" refreshedVersion="4" minRefreshableVersion="3" recordCount="20">
  <cacheSource type="worksheet">
    <worksheetSource ref="C1:D50" sheet="Logger"/>
  </cacheSource>
  <cacheFields count="2">
    <cacheField name="LoggerManufacturer" numFmtId="0">
      <sharedItems containsBlank="1" count="7">
        <s v="In-Situ"/>
        <s v="Solinst"/>
        <s v="Telog"/>
        <s v="Onset"/>
        <s v="Odyssey"/>
        <m/>
        <s v="Oddesy" u="1"/>
      </sharedItems>
    </cacheField>
    <cacheField name="LoggerModel" numFmtId="0">
      <sharedItems containsBlank="1" count="9">
        <s v="miniTROLL"/>
        <s v="BaroLogger Gold"/>
        <s v="LevelLogger Gold"/>
        <s v="2108 (Potentiometric)"/>
        <s v="2109e (Pressure)"/>
        <s v="WLS31"/>
        <s v="U20-001-01"/>
        <s v="Capacitive Water Level"/>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Sara Geleskie" refreshedDate="40980.591212268519" createdVersion="4" refreshedVersion="4" minRefreshableVersion="3" recordCount="20">
  <cacheSource type="worksheet">
    <worksheetSource ref="A1:F50" sheet="Logger"/>
  </cacheSource>
  <cacheFields count="6">
    <cacheField name="LoggerID" numFmtId="0">
      <sharedItems containsString="0" containsBlank="1" containsNumber="1" containsInteger="1" minValue="1" maxValue="17"/>
    </cacheField>
    <cacheField name="LoggerName" numFmtId="0">
      <sharedItems containsBlank="1"/>
    </cacheField>
    <cacheField name="LoggerManufacturer" numFmtId="0">
      <sharedItems containsBlank="1" count="7">
        <s v="In-Situ"/>
        <s v="Solinst"/>
        <s v="Telog"/>
        <s v="Onset"/>
        <s v="Odyssey"/>
        <m/>
        <s v="Oddesy" u="1"/>
      </sharedItems>
    </cacheField>
    <cacheField name="LoggerModel" numFmtId="0">
      <sharedItems containsBlank="1" count="9">
        <s v="miniTROLL"/>
        <s v="BaroLogger Gold"/>
        <s v="LevelLogger Gold"/>
        <s v="2108 (Potentiometric)"/>
        <s v="2109e (Pressure)"/>
        <s v="WLS31"/>
        <s v="U20-001-01"/>
        <s v="Capacitive Water Level"/>
        <m/>
      </sharedItems>
    </cacheField>
    <cacheField name="LoggerSerialNumber" numFmtId="0">
      <sharedItems containsBlank="1" containsMixedTypes="1" containsNumber="1" containsInteger="1" minValue="1762" maxValue="1038582" count="18">
        <n v="1762"/>
        <n v="1876"/>
        <n v="1902"/>
        <n v="1026688"/>
        <n v="1027936"/>
        <n v="1038069"/>
        <n v="1038582"/>
        <n v="13324"/>
        <s v="3379/2211"/>
        <s v="3392?"/>
        <n v="22071"/>
        <n v="21914"/>
        <n v="22095"/>
        <n v="22099"/>
        <n v="867579"/>
        <n v="867580"/>
        <n v="41048"/>
        <m/>
      </sharedItems>
    </cacheField>
    <cacheField name="PurchaseDate" numFmtId="164">
      <sharedItems containsNonDate="0" containsDate="1" containsString="0" containsBlank="1" minDate="2001-09-10T00:00:00" maxDate="2009-01-28T00:0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Sara Geleskie" refreshedDate="40984.671047800926" createdVersion="4" refreshedVersion="4" minRefreshableVersion="3" recordCount="343">
  <cacheSource type="worksheet">
    <worksheetSource ref="A1:D500" sheet="UnitsCV"/>
  </cacheSource>
  <cacheFields count="4">
    <cacheField name="UnitsID" numFmtId="0">
      <sharedItems containsString="0" containsBlank="1" containsNumber="1" containsInteger="1" minValue="1" maxValue="343"/>
    </cacheField>
    <cacheField name="UnitsName" numFmtId="0">
      <sharedItems containsBlank="1" count="341">
        <s v="percent"/>
        <s v="degree"/>
        <s v="grad"/>
        <s v="radian"/>
        <s v="degree north"/>
        <s v="degree south"/>
        <s v="degree west"/>
        <s v="degree east"/>
        <s v="arcminute"/>
        <s v="arcsecond"/>
        <s v="steradian"/>
        <s v="acre"/>
        <s v="hectare"/>
        <s v="square centimeter"/>
        <s v="square foot"/>
        <s v="square kilometer"/>
        <s v="square meter"/>
        <s v="square mile"/>
        <s v="hertz"/>
        <s v="darcy"/>
        <s v="british thermal unit"/>
        <s v="calorie"/>
        <s v="erg"/>
        <s v="foot pound force"/>
        <s v="joule"/>
        <s v="kilowatt hour"/>
        <s v="electronvolt"/>
        <s v="langleys per day"/>
        <s v="langleys per minute"/>
        <s v="langleys per second"/>
        <s v="megajoules per square meter per day"/>
        <s v="watts per square centimeter"/>
        <s v="watts per square meter"/>
        <s v="acre feet per year"/>
        <s v="cubic feet per second"/>
        <s v="cubic meters per second"/>
        <s v="cubic meters per day"/>
        <s v="gallons per minute"/>
        <s v="liters per second"/>
        <s v="million gallons per day"/>
        <s v="dyne"/>
        <s v="kilogram force"/>
        <s v="newton"/>
        <s v="pound force"/>
        <s v="kilo pound force"/>
        <s v="ounce force"/>
        <s v="centimeter"/>
        <s v="international foot"/>
        <s v="international inch"/>
        <s v="international yard"/>
        <s v="kilometer"/>
        <s v="meter"/>
        <s v="international mile"/>
        <s v="millimeter"/>
        <s v="micron"/>
        <s v="angstrom"/>
        <s v="femtometer"/>
        <s v="nautical mile"/>
        <s v="lumen"/>
        <s v="lux"/>
        <s v="lambert"/>
        <s v="stilb"/>
        <s v="phot"/>
        <s v="langley"/>
        <s v="gram"/>
        <s v="kilogram"/>
        <s v="milligram"/>
        <s v="microgram"/>
        <s v="pound mass (avoirdupois)"/>
        <s v="slug"/>
        <s v="metric ton"/>
        <s v="grain"/>
        <s v="carat"/>
        <s v="atomic mass unit"/>
        <s v="short ton"/>
        <s v="BTU per hour"/>
        <s v="foot pound force per second"/>
        <s v="horse power (shaft)"/>
        <s v="kilowatt"/>
        <s v="watt"/>
        <s v="voltampere"/>
        <s v="atmospheres"/>
        <s v="pascal"/>
        <s v="inch of mercury"/>
        <s v="inch of water"/>
        <s v="millimeter of mercury"/>
        <s v="millimeter of water"/>
        <s v="centimeter of mercury"/>
        <s v="centimeter of water"/>
        <s v="millibar"/>
        <s v="pound force per square inch"/>
        <s v="torr"/>
        <s v="barie"/>
        <s v="meters per pixel"/>
        <s v="meters per meter"/>
        <s v="degree celsius"/>
        <s v="degree fahrenheit"/>
        <s v="degree rankine"/>
        <s v="degree kelvin"/>
        <s v="second"/>
        <s v="millisecond"/>
        <s v="minute"/>
        <s v="hour"/>
        <s v="day"/>
        <s v="week"/>
        <s v="month"/>
        <s v="common year (365 days)"/>
        <s v="leap year (366 days)"/>
        <s v="Julian year (365.25 days)"/>
        <s v="Gregorian year (365.2425 days)"/>
        <s v="centimeters per hour"/>
        <s v="centimeters per second"/>
        <s v="feet per second"/>
        <s v="gallons per day per square foot"/>
        <s v="inches per hour"/>
        <s v="kilometers per hour"/>
        <s v="meters per day"/>
        <s v="meters per hour"/>
        <s v="meters per second"/>
        <s v="miles per hour"/>
        <s v="millimeters per hour"/>
        <s v="nautical mile per hour"/>
        <s v="acre foot"/>
        <s v="cubic centimeter"/>
        <s v="cubic foot"/>
        <s v="cubic meter"/>
        <s v="hectare meter"/>
        <s v="liter"/>
        <s v="US gallon"/>
        <s v="barrel"/>
        <s v="pint"/>
        <s v="bushel"/>
        <s v="teaspoon"/>
        <s v="tablespoon"/>
        <s v="quart"/>
        <s v="ounce"/>
        <s v="dimensionless"/>
        <s v="mega joule"/>
        <s v="degrees minutes seconds"/>
        <s v="calories per square centimeter per day"/>
        <s v="calories per square centimeter per minute"/>
        <s v="milliliters per square centimeter per day"/>
        <s v="micromoles of photons per square meter per second"/>
        <s v="megajoules per square meter"/>
        <s v="gallons per day"/>
        <s v="million gallons per month"/>
        <s v="million gallons per year"/>
        <s v="short tons per day per foot"/>
        <s v="lumens per square foot"/>
        <s v="microeinsteins per square meter per second"/>
        <s v="alphas per meter"/>
        <s v="microeinsteins per square meter"/>
        <s v="millimoles of photons per square meter"/>
        <s v="absorbance per centimeter"/>
        <s v="nanogram"/>
        <s v="picogram"/>
        <s v="milliequivalents"/>
        <s v="grams per square meter"/>
        <s v="milligrams per square meter"/>
        <s v="micrograms per square meter"/>
        <s v="grams per square meter per day"/>
        <s v="grams per day"/>
        <s v="pounds per day"/>
        <s v="pounds per mile"/>
        <s v="short tons per day"/>
        <s v="milligrams per cubic meter per day"/>
        <s v="milligrams per square meter per day"/>
        <s v="volts"/>
        <s v="millivolts"/>
        <s v="kilopascal"/>
        <s v="megapascal"/>
        <s v="becquerel"/>
        <s v="becquerels per gram"/>
        <s v="curie"/>
        <s v="picocurie"/>
        <s v="ohm"/>
        <s v="ohm meter"/>
        <s v="picocuries per gram"/>
        <s v="picocuries per liter"/>
        <s v="picocuries per milliliter"/>
        <s v="hour minute"/>
        <s v="year month day"/>
        <s v="year day (Julian)"/>
        <s v="inches per day"/>
        <s v="inches per week"/>
        <s v="inches per storm"/>
        <s v="thousand acre feet"/>
        <s v="milliliter"/>
        <s v="cubic feet per second days"/>
        <s v="thousand gallons"/>
        <s v="million gallons"/>
        <s v="microsiemens per centimeter"/>
        <s v="practical salinity units"/>
        <s v="decibel"/>
        <s v="cubic centimeters per gram"/>
        <s v="square meters per gram"/>
        <s v="short tons per acre foot"/>
        <s v="grams per cubic centimeter"/>
        <s v="milligrams per liter"/>
        <s v="nanograms per cubic meter"/>
        <s v="nanograms per liter"/>
        <s v="grams per liter"/>
        <s v="micrograms per cubic meter"/>
        <s v="micrograms per liter"/>
        <s v="parts per million"/>
        <s v="parts per billion"/>
        <s v="parts per trillion"/>
        <s v="parts per quintillion"/>
        <s v="parts per quadrillion"/>
        <s v="per mille"/>
        <s v="microequivalents per liter"/>
        <s v="milliequivalents per liter"/>
        <s v="milliequivalents per 100 gram"/>
        <s v="milliosmols per kilogram"/>
        <s v="nanomoles per liter"/>
        <s v="picograms per cubic meter"/>
        <s v="picograms per liter"/>
        <s v="picograms per milliliter"/>
        <s v="tritium units"/>
        <s v="jackson turbidity units"/>
        <s v="nephelometric turbidity units"/>
        <s v="nephelometric turbidity multibeam unit"/>
        <s v="nephelometric turbidity ratio unit"/>
        <s v="formazin nephelometric multibeam unit"/>
        <s v="formazin nephelometric ratio unit"/>
        <s v="formazin nephelometric unit"/>
        <s v="formazin attenuation unit"/>
        <s v="formazin backscatter unit"/>
        <s v="backscatter units"/>
        <s v="attenuation units"/>
        <s v="platinum cobalt units"/>
        <s v="the ratio between UV absorbance at 254 nm and DOC level"/>
        <s v="billion colonies per day"/>
        <s v="number of organisms per square meter"/>
        <s v="number of organisms per liter"/>
        <s v="number or organisms per cubic meter"/>
        <s v="cells per milliliter"/>
        <s v="cells per square millimeter"/>
        <s v="colonies per 100 milliliters"/>
        <s v="colonies per milliliter"/>
        <s v="colonies per gram"/>
        <s v="colony forming units per milliliter"/>
        <s v="cysts per 10 liters"/>
        <s v="cysts per 100 liters"/>
        <s v="oocysts per 10 liters"/>
        <s v="oocysts per 100 liters"/>
        <s v="most probable number"/>
        <s v="most probable number per 100 liters"/>
        <s v="most probable number per 100 milliliters"/>
        <s v="most probable number per gram"/>
        <s v="plaque-forming units per 100 liters"/>
        <s v="plaques per 100 milliliters"/>
        <s v="counts per second"/>
        <s v="per day"/>
        <s v="nanograms per square meter per hour"/>
        <s v="nanograms per square meter per week"/>
        <s v="count"/>
        <s v="categorical"/>
        <s v="absorbance per centimeter per mg/L of given acid"/>
        <s v="per liter"/>
        <s v="per mille per hour"/>
        <s v="gallons per batch"/>
        <s v="cubic feet per barrel"/>
        <s v="per mille by volume"/>
        <s v="per mille per hour by volume"/>
        <s v="micromoles"/>
        <s v="tons of calcium carbonate per kiloton"/>
        <s v="siemens per meter"/>
        <s v="millisiemens per centimeter"/>
        <s v="siemens per centimeter"/>
        <s v="practical salinity scale"/>
        <s v="per meter"/>
        <s v="normal"/>
        <s v="nanomoles per kilogram"/>
        <s v="millimoles per kilogram"/>
        <s v="millimoles per square meter per hour"/>
        <s v="milligrams per cubic meter per hour"/>
        <s v="milligrams per day"/>
        <s v="liters per minute"/>
        <s v="liters per day"/>
        <s v="jackson candle units"/>
        <s v="grains per gallon"/>
        <s v="gallons per second"/>
        <s v="gallons per hour"/>
        <s v="foot candle"/>
        <s v="fibers per liter"/>
        <s v="drips per minute"/>
        <s v="cubic centimeters per second"/>
        <s v="colony forming units"/>
        <s v="colony forming units per 100 milliliter"/>
        <s v="cubic feet per minute"/>
        <s v="ADMI color unit"/>
        <s v="percent by volume"/>
        <s v="number of organisms per 500 milliliter"/>
        <s v="number of organisms per 100 gallon"/>
        <s v="grams per cubic meter per hour"/>
        <s v="grams per minute"/>
        <s v="grams per second"/>
        <s v="million cubic feet"/>
        <s v="month year"/>
        <s v="bar"/>
        <s v="decisiemens per centimeter"/>
        <s v="micromoles per liter"/>
        <s v="Joules per square centimeter"/>
        <s v="millimeters per day"/>
        <s v="parts per thousand"/>
        <s v="megaliter"/>
        <s v="Percent Saturation"/>
        <s v="pH Unit"/>
        <s v="millimeters per second"/>
        <s v="liters per hour"/>
        <s v="cubic hecto meter"/>
        <s v="mols per cubic meter"/>
        <s v="kilo grams per month"/>
        <s v="Hecto Pascal"/>
        <s v="kilo grams per cubic meter"/>
        <s v="short tons per month"/>
        <s v="grams per square meter per hour"/>
        <s v="milligrams per cubic meter"/>
        <s v="meters squared per second squared"/>
        <s v="squared degree Celsius"/>
        <s v="milligrams per cubic meter squared"/>
        <s v="meters per second degree Celsius"/>
        <s v="millimoles per square meter per second"/>
        <s v="degree Celsius millimoles per cubic meter"/>
        <s v="millimoles per cubic meter"/>
        <s v="millimoles per cubic meter squared"/>
        <s v="Langleys per hour"/>
        <s v="hits per square centimeter"/>
        <s v="hits per square centimeter per hour"/>
        <s v="relative fluorescence units"/>
        <s v="kilograms per hectare per day"/>
        <s v="kilowatts per square meter"/>
        <s v="centimoles per kilogram"/>
        <s v="micrograms per gram"/>
        <s v="kilograms per hectare"/>
        <s v="cubic meter per cubic meter"/>
        <s v="micromoles per mole"/>
        <s v="millimoles per mole"/>
        <s v="milligrams per square meter per second"/>
        <m/>
      </sharedItems>
    </cacheField>
    <cacheField name="UnitsType" numFmtId="0">
      <sharedItems containsBlank="1" count="63">
        <s v="Dimensionless"/>
        <s v="Angle"/>
        <s v="Area"/>
        <s v="Frequency"/>
        <s v="Permeability"/>
        <s v="Energy"/>
        <s v="Energy Flux"/>
        <s v="Flow"/>
        <s v="Force"/>
        <s v="Length"/>
        <s v="Light"/>
        <s v="Mass"/>
        <s v="Power"/>
        <s v="Pressure/Stress"/>
        <s v="Resolution"/>
        <s v="Scale"/>
        <s v="Temperature"/>
        <s v="Time"/>
        <s v="Velocity"/>
        <s v="Volume"/>
        <s v="Hyporheic flux"/>
        <s v="Photon Flux"/>
        <s v="Energy per Area"/>
        <s v="Mass flow per unit width"/>
        <s v="Light Intensity"/>
        <s v="Extinction/Absorbance"/>
        <s v="Areal Density"/>
        <s v="Areal Loading"/>
        <s v="Loading"/>
        <s v="Productivity"/>
        <s v="Potential Difference"/>
        <s v="Radioactivity"/>
        <s v="Resistance"/>
        <s v="Resistivity"/>
        <s v="Specific Activity"/>
        <s v="Precipitation"/>
        <s v="Electrical Conductivity"/>
        <s v="Salinity"/>
        <s v="Sound"/>
        <s v="Specific Volume"/>
        <s v="Specific Surface Area"/>
        <s v="Concentration"/>
        <s v="Turbidity"/>
        <s v="Color"/>
        <s v="Specific UV Absorbance"/>
        <s v="Organism Loading"/>
        <s v="Organism Concentration"/>
        <s v="Rate"/>
        <s v="Volatilization Rate"/>
        <s v="Absorbance"/>
        <s v="Concentration Ratio"/>
        <s v="Sedimentation Rate"/>
        <s v="Amount"/>
        <s v="Net Neutralization Potential"/>
        <s v="Light Extinction"/>
        <s v="Normality"/>
        <s v="Areal Flux"/>
        <s v="Illuminance"/>
        <s v="Pressure"/>
        <s v="Concentration or organism concentration"/>
        <s v="Fluorescence"/>
        <s v="Concentraion"/>
        <m/>
      </sharedItems>
    </cacheField>
    <cacheField name="UnitsAbbreviation" numFmtId="0">
      <sharedItems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Sara Geleskie" refreshedDate="40984.672925462961" createdVersion="4" refreshedVersion="4" minRefreshableVersion="3" recordCount="255">
  <cacheSource type="worksheet">
    <worksheetSource ref="C1:C500" sheet="Variables"/>
  </cacheSource>
  <cacheFields count="1">
    <cacheField name="Variable Type" numFmtId="0">
      <sharedItems containsBlank="1" count="25">
        <s v="Length"/>
        <s v="Pressure/Stress"/>
        <s v="Concentration"/>
        <s v="Dimensionless"/>
        <m/>
        <s v="Organism Concentration"/>
        <s v="Color"/>
        <s v="Density"/>
        <s v="Flow"/>
        <s v="Energy"/>
        <s v="Power"/>
        <s v="Electrical Conductivity"/>
        <s v="Rate"/>
        <s v="Velocity"/>
        <s v="Loading"/>
        <s v="Energy Flux"/>
        <s v="Isotope Ratio"/>
        <s v="Angle"/>
        <s v="Light"/>
        <s v="Time"/>
        <s v="Temperature"/>
        <s v="Turbidity"/>
        <s v="Potential Difference"/>
        <s v="Volume"/>
        <s v="Raw"/>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Sara Geleskie" refreshedDate="40984.684075925928" createdVersion="4" refreshedVersion="4" minRefreshableVersion="3" recordCount="255">
  <cacheSource type="worksheet">
    <worksheetSource ref="B1:C500" sheet="Variables"/>
  </cacheSource>
  <cacheFields count="2">
    <cacheField name="VariableName" numFmtId="0">
      <sharedItems containsBlank="1" count="254">
        <s v="% Full Scale (4.5 feet)"/>
        <s v="% Full Scale (5 psi)"/>
        <s v="19-Hexanoyloxyfucoxanthin"/>
        <s v="9 cis-Neoxanthin"/>
        <s v="Absolute Pressure"/>
        <s v="Absolute Water Column Equivalent Height"/>
        <s v="Acid neutralizing capacity"/>
        <s v="Agency code"/>
        <s v="Albedo"/>
        <s v="Alkalinity, bicarbonate"/>
        <s v="Alkalinity, carbonate "/>
        <s v="Alkalinity, carbonate plus bicarbonate"/>
        <s v="Alkalinity, hydroxide "/>
        <s v="Alkalinity, total "/>
        <s v="Alloxanthin"/>
        <s v="Aluminum"/>
        <s v="Barometric pressure"/>
        <s v="Barometric Water Column Equivalent Height"/>
        <s v="Battery voltage"/>
        <s v="Bicarbonate"/>
        <s v="BOD20"/>
        <s v="BOD20, nitrogenous"/>
        <s v="BOD5"/>
        <s v="BOD5, carbonaceous"/>
        <s v="BOD5, nitrogenous"/>
        <s v="BODu"/>
        <s v="BODu, carbonaceous"/>
        <s v="BODu, nitrogenous"/>
        <s v="Borehole log material classification"/>
        <s v="Boron"/>
        <s v="Bromide"/>
        <s v="Bulk density"/>
        <s v="Bulk electrical conductivity"/>
        <s v="Cadmium"/>
        <s v="Calcium "/>
        <s v="Canthaxanthin"/>
        <s v="Carbon dioxide"/>
        <s v="Carbon dioxide flux"/>
        <s v="Carbon dioxide storage flux"/>
        <s v="Carbon dioxide, transducer signal"/>
        <s v="Carbon to Nitrogen molar ratio"/>
        <s v="Carbon, dissolved inorganic"/>
        <s v="Carbon, dissolved organic"/>
        <s v="Carbon, dissolved total"/>
        <s v="Carbon, suspended inorganic"/>
        <s v="Carbon, suspended organic"/>
        <s v="Carbon, suspened total"/>
        <s v="Carbon, total"/>
        <s v="Carbon, total inorganic"/>
        <s v="Carbon, total organic"/>
        <s v="Carbon, total solid phase"/>
        <s v="Carbonate"/>
        <s v="Chloride"/>
        <s v="Chlorophyll (a+b+c)"/>
        <s v="Chlorophyll a"/>
        <s v="Chlorophyll a allomer"/>
        <s v="Chlorophyll a, corrected for pheophytin"/>
        <s v="Chlorophyll a, uncorrected for pheophytin"/>
        <s v="Chlorophyll b"/>
        <s v="Chlorophyll c"/>
        <s v="Chlorophyll c1 and c2"/>
        <s v="Chlorophyll fluorescence"/>
        <s v="Chromium (III)"/>
        <s v="Chromium (VI)"/>
        <s v="Chromium, total"/>
        <s v="COD"/>
        <s v="Coliform, fecal"/>
        <s v="Coliform, total"/>
        <s v="Color"/>
        <s v="Colored dissolved organic matter"/>
        <s v="Container number"/>
        <s v="Copper"/>
        <s v="Cryptophytes"/>
        <s v="Data Shuttle Attached"/>
        <s v="Data Shuttle Detached"/>
        <s v="Density"/>
        <s v="Deuterium"/>
        <s v="Diadinoxanthin"/>
        <s v="Diatoxanthin"/>
        <s v="Dinoflagellates"/>
        <s v="Discharge"/>
        <s v="Distance"/>
        <s v="E-coli"/>
        <s v="Electric Energy"/>
        <s v="Electric Power"/>
        <s v="Electrical conductivity"/>
        <s v="End of File"/>
        <s v="Evaporation"/>
        <s v="Evapotranspiration"/>
        <s v="Evapotranspiration, potential"/>
        <s v="Exchange acidity"/>
        <s v="Fish detections"/>
        <s v="Flash memory error count"/>
        <s v="Fluoride"/>
        <s v="Friction velocity"/>
        <s v="Gage height"/>
        <s v="Gross primary productivity"/>
        <s v="Ground heat flux"/>
        <s v="Hardness, carbonate"/>
        <s v="Hardness, non-carbonate"/>
        <s v="Hardness, total"/>
        <s v="Host Connected"/>
        <s v="Hydrogen-2, stable isotope ratio delta"/>
        <s v="Imaginary dielectric constant"/>
        <s v="Instrument status code"/>
        <s v="Iron sulfide"/>
        <s v="Iron, ferric"/>
        <s v="Iron, ferrous"/>
        <s v="Latent heat flux"/>
        <s v="Latitude"/>
        <s v="Lead"/>
        <s v="Leaf wetness"/>
        <s v="Light attenuation coefficient"/>
        <s v="Lithium"/>
        <s v="Logger Stopped"/>
        <s v="Longitude"/>
        <s v="Low battery count"/>
        <s v="LSI"/>
        <s v="Magnesium"/>
        <s v="Manganese"/>
        <s v="Mercury"/>
        <s v="Methylmercury"/>
        <s v="Molybdenum"/>
        <s v="Momentum flux"/>
        <s v="N, albuminoid"/>
        <s v="Nitrogen, dissolved inorganic"/>
        <s v="Nitrogen, dissolved organic"/>
        <s v="Nitrogen, gas"/>
        <s v="Nitrogen, inorganic"/>
        <s v="Nitrogen, NH3"/>
        <s v="Nitrogen, NH3 + NH4"/>
        <s v="Nitrogen, NH4"/>
        <s v="Nitrogen, nitrate (NO3)"/>
        <s v="Nitrogen, nitrite (NO2)"/>
        <s v="Nitrogen, nitrite (NO2) + nitrate (NO3)"/>
        <s v="Nitrogen, organic"/>
        <s v="Nitrogen, particulate organic"/>
        <s v="Nitrogen, total"/>
        <s v="Nitrogen, total dissolved"/>
        <s v="Nitrogen, total kjeldahl"/>
        <s v="Nitrogen-15, stable isotope ratio delta"/>
        <s v="Organic matter"/>
        <s v="Oxygen, dissolved"/>
        <s v="Oxygen, dissolved percent of saturation"/>
        <s v="Oxygen, dissolved, transducer signal"/>
        <s v="Oxygen-18"/>
        <s v="Oxygen-18, stable isotope ratio delta"/>
        <s v="Ozone"/>
        <s v="Parameter"/>
        <s v="Peridinin"/>
        <s v="Permittivity"/>
        <s v="pH"/>
        <s v="Pheophytin"/>
        <s v="Phosphorus, inorganic "/>
        <s v="Phosphorus, organic"/>
        <s v="Phosphorus, orthophosphate dissolved"/>
        <s v="Phosphorus, ortophosphate"/>
        <s v="Phosphorus, particulate"/>
        <s v="Phosphorus, phosphate (PO4)"/>
        <s v="Phosphorus, polyphosphate"/>
        <s v="Phosphorus, total"/>
        <s v="Phosphorus, total dissolved"/>
        <s v="Phycocyanin"/>
        <s v="Position"/>
        <s v="Potassium"/>
        <s v="Precipitation"/>
        <s v="Primary productivity"/>
        <s v="Program signature"/>
        <s v="Radiation, incoming"/>
        <s v="Radiation, incoming longwave"/>
        <s v="Radiation, incoming PAR"/>
        <s v="Radiation, incoming shortwave"/>
        <s v="Radiation, incoming UV-A"/>
        <s v="Radiation, incoming UV-B"/>
        <s v="Radiation, net"/>
        <s v="Radiation, net longwave"/>
        <s v="Radiation, net PAR"/>
        <s v="Radiation, net shortwave"/>
        <s v="Radiation, outgoing longwave"/>
        <s v="Radiation, outgoing PAR"/>
        <s v="Radiation, outgoing shortwave"/>
        <s v="Radiation, total shortwave"/>
        <s v="Real dielectric constant"/>
        <s v="Recorder code"/>
        <s v="Reduction potential"/>
        <s v="Relative humidity"/>
        <s v="Remark"/>
        <s v="Respiration, ecosystem"/>
        <s v="Salinity"/>
        <s v="Secchi depth"/>
        <s v="Sensible heat flux"/>
        <s v="Sequence number"/>
        <s v="Signal-to-noise ratio"/>
        <s v="Silica"/>
        <s v="Silicate"/>
        <s v="Silicon"/>
        <s v="Snow depth"/>
        <s v="Snow water equivalent"/>
        <s v="Sodium"/>
        <s v="Sodium adsorption ratio"/>
        <s v="Sodium plus potassium"/>
        <s v="Sodium, fraction of cations"/>
        <s v="Solids, fixed dissolved"/>
        <s v="Solids, fixed suspended"/>
        <s v="Solids, total"/>
        <s v="Solids, total dissolved"/>
        <s v="Solids, total fixed"/>
        <s v="Solids, total suspended"/>
        <s v="Solids, total volatile"/>
        <s v="Solids, volatile dissolved"/>
        <s v="Solids, volatile suspended"/>
        <s v="Specific conductance"/>
        <s v="Streamflow"/>
        <s v="Streptococci, fecal"/>
        <s v="Sulfate"/>
        <s v="Sulfur"/>
        <s v="Sulfur dioxide"/>
        <s v="Sulfur, organic"/>
        <s v="Sulfur, pyritic"/>
        <s v="Sunshine duration"/>
        <s v="Table overrun error count"/>
        <s v="TDR waveform relative length"/>
        <s v="Temperature"/>
        <s v="Temperature, dew point"/>
        <s v="Temperature, transducer signal"/>
        <s v="Transpiration"/>
        <s v="TSI"/>
        <s v="Turbidity"/>
        <s v="Vapor pressure"/>
        <s v="Vapor pressure deficit"/>
        <s v="Velocity"/>
        <s v="Vented Water Pressure"/>
        <s v="Visibility"/>
        <s v="Voltage"/>
        <s v="Volume"/>
        <s v="Volumetric water content"/>
        <s v="Watchdog error count"/>
        <s v="Water depth"/>
        <s v="Water depth, averaged"/>
        <s v="Water flux"/>
        <s v="Water level"/>
        <s v="Water potential"/>
        <s v="Water vapor concentration"/>
        <s v="Water vapor density"/>
        <s v="Well flow rate"/>
        <s v="Wellhead pressure"/>
        <s v="Wind direction"/>
        <s v="Wind direction, horizontal standard deviation"/>
        <s v="Wind speed"/>
        <s v="Zeaxanthin"/>
        <s v="Zinc"/>
        <s v="Electrical Capacitance"/>
        <s v="Raw Logger Output"/>
        <m/>
      </sharedItems>
    </cacheField>
    <cacheField name="Variable Type" numFmtId="0">
      <sharedItems containsBlank="1" count="26">
        <s v="Length"/>
        <s v="Pressure/Stress"/>
        <s v="Concentration"/>
        <s v="Dimensionless"/>
        <m/>
        <s v="Organism Concentration"/>
        <s v="Color"/>
        <s v="Density"/>
        <s v="Flow"/>
        <s v="Energy"/>
        <s v="Power"/>
        <s v="Electrical Conductivity"/>
        <s v="Rate"/>
        <s v="Velocity"/>
        <s v="Loading"/>
        <s v="Energy Flux"/>
        <s v="Isotope Ratio"/>
        <s v="Angle"/>
        <s v="Light"/>
        <s v="Time"/>
        <s v="Temperature"/>
        <s v="Turbidity"/>
        <s v="Potential Difference"/>
        <s v="Volume"/>
        <s v="Electrical Capacitance"/>
        <s v="Raw"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r>
  <r>
    <x v="0"/>
  </r>
  <r>
    <x v="0"/>
  </r>
  <r>
    <x v="0"/>
  </r>
  <r>
    <x v="0"/>
  </r>
  <r>
    <x v="0"/>
  </r>
  <r>
    <x v="0"/>
  </r>
  <r>
    <x v="1"/>
  </r>
  <r>
    <x v="0"/>
  </r>
  <r>
    <x v="0"/>
  </r>
  <r>
    <x v="0"/>
  </r>
  <r>
    <x v="0"/>
  </r>
  <r>
    <x v="0"/>
  </r>
  <r>
    <x v="0"/>
  </r>
  <r>
    <x v="0"/>
  </r>
  <r>
    <x v="0"/>
  </r>
  <r>
    <x v="2"/>
  </r>
  <r>
    <x v="3"/>
  </r>
  <r>
    <x v="3"/>
  </r>
  <r>
    <x v="3"/>
  </r>
</pivotCacheRecords>
</file>

<file path=xl/pivotCache/pivotCacheRecords2.xml><?xml version="1.0" encoding="utf-8"?>
<pivotCacheRecords xmlns="http://schemas.openxmlformats.org/spreadsheetml/2006/main" xmlns:r="http://schemas.openxmlformats.org/officeDocument/2006/relationships" count="20">
  <r>
    <x v="0"/>
    <x v="0"/>
  </r>
  <r>
    <x v="0"/>
    <x v="0"/>
  </r>
  <r>
    <x v="0"/>
    <x v="0"/>
  </r>
  <r>
    <x v="0"/>
    <x v="1"/>
  </r>
  <r>
    <x v="0"/>
    <x v="1"/>
  </r>
  <r>
    <x v="0"/>
    <x v="1"/>
  </r>
  <r>
    <x v="0"/>
    <x v="1"/>
  </r>
  <r>
    <x v="1"/>
    <x v="2"/>
  </r>
  <r>
    <x v="0"/>
    <x v="3"/>
  </r>
  <r>
    <x v="0"/>
    <x v="3"/>
  </r>
  <r>
    <x v="0"/>
    <x v="3"/>
  </r>
  <r>
    <x v="0"/>
    <x v="3"/>
  </r>
  <r>
    <x v="0"/>
    <x v="3"/>
  </r>
  <r>
    <x v="0"/>
    <x v="3"/>
  </r>
  <r>
    <x v="0"/>
    <x v="4"/>
  </r>
  <r>
    <x v="0"/>
    <x v="4"/>
  </r>
  <r>
    <x v="2"/>
    <x v="5"/>
  </r>
  <r>
    <x v="3"/>
    <x v="6"/>
  </r>
  <r>
    <x v="3"/>
    <x v="6"/>
  </r>
  <r>
    <x v="3"/>
    <x v="6"/>
  </r>
</pivotCacheRecords>
</file>

<file path=xl/pivotCache/pivotCacheRecords3.xml><?xml version="1.0" encoding="utf-8"?>
<pivotCacheRecords xmlns="http://schemas.openxmlformats.org/spreadsheetml/2006/main" xmlns:r="http://schemas.openxmlformats.org/officeDocument/2006/relationships" count="20">
  <r>
    <x v="0"/>
    <x v="0"/>
    <x v="0"/>
  </r>
  <r>
    <x v="0"/>
    <x v="0"/>
    <x v="0"/>
  </r>
  <r>
    <x v="0"/>
    <x v="0"/>
    <x v="0"/>
  </r>
  <r>
    <x v="0"/>
    <x v="1"/>
    <x v="1"/>
  </r>
  <r>
    <x v="0"/>
    <x v="1"/>
    <x v="2"/>
  </r>
  <r>
    <x v="0"/>
    <x v="1"/>
    <x v="2"/>
  </r>
  <r>
    <x v="0"/>
    <x v="1"/>
    <x v="2"/>
  </r>
  <r>
    <x v="1"/>
    <x v="2"/>
    <x v="3"/>
  </r>
  <r>
    <x v="0"/>
    <x v="3"/>
    <x v="4"/>
  </r>
  <r>
    <x v="0"/>
    <x v="3"/>
    <x v="5"/>
  </r>
  <r>
    <x v="0"/>
    <x v="3"/>
    <x v="6"/>
  </r>
  <r>
    <x v="0"/>
    <x v="3"/>
    <x v="7"/>
  </r>
  <r>
    <x v="0"/>
    <x v="3"/>
    <x v="6"/>
  </r>
  <r>
    <x v="0"/>
    <x v="3"/>
    <x v="6"/>
  </r>
  <r>
    <x v="0"/>
    <x v="4"/>
    <x v="8"/>
  </r>
  <r>
    <x v="0"/>
    <x v="4"/>
    <x v="8"/>
  </r>
  <r>
    <x v="2"/>
    <x v="5"/>
    <x v="9"/>
  </r>
  <r>
    <x v="3"/>
    <x v="6"/>
    <x v="10"/>
  </r>
  <r>
    <x v="3"/>
    <x v="6"/>
    <x v="10"/>
  </r>
  <r>
    <x v="3"/>
    <x v="6"/>
    <x v="10"/>
  </r>
</pivotCacheRecords>
</file>

<file path=xl/pivotCache/pivotCacheRecords4.xml><?xml version="1.0" encoding="utf-8"?>
<pivotCacheRecords xmlns="http://schemas.openxmlformats.org/spreadsheetml/2006/main" xmlns:r="http://schemas.openxmlformats.org/officeDocument/2006/relationships" count="20">
  <r>
    <x v="0"/>
    <x v="0"/>
    <x v="0"/>
    <x v="0"/>
  </r>
  <r>
    <x v="0"/>
    <x v="0"/>
    <x v="0"/>
    <x v="1"/>
  </r>
  <r>
    <x v="0"/>
    <x v="0"/>
    <x v="0"/>
    <x v="2"/>
  </r>
  <r>
    <x v="0"/>
    <x v="1"/>
    <x v="1"/>
    <x v="3"/>
  </r>
  <r>
    <x v="0"/>
    <x v="1"/>
    <x v="2"/>
    <x v="4"/>
  </r>
  <r>
    <x v="0"/>
    <x v="1"/>
    <x v="2"/>
    <x v="5"/>
  </r>
  <r>
    <x v="0"/>
    <x v="1"/>
    <x v="2"/>
    <x v="6"/>
  </r>
  <r>
    <x v="1"/>
    <x v="2"/>
    <x v="3"/>
    <x v="7"/>
  </r>
  <r>
    <x v="0"/>
    <x v="3"/>
    <x v="4"/>
    <x v="8"/>
  </r>
  <r>
    <x v="0"/>
    <x v="3"/>
    <x v="5"/>
    <x v="9"/>
  </r>
  <r>
    <x v="0"/>
    <x v="3"/>
    <x v="6"/>
    <x v="10"/>
  </r>
  <r>
    <x v="0"/>
    <x v="3"/>
    <x v="7"/>
    <x v="9"/>
  </r>
  <r>
    <x v="0"/>
    <x v="3"/>
    <x v="6"/>
    <x v="11"/>
  </r>
  <r>
    <x v="0"/>
    <x v="3"/>
    <x v="6"/>
    <x v="12"/>
  </r>
  <r>
    <x v="0"/>
    <x v="4"/>
    <x v="8"/>
    <x v="13"/>
  </r>
  <r>
    <x v="0"/>
    <x v="4"/>
    <x v="8"/>
    <x v="14"/>
  </r>
  <r>
    <x v="2"/>
    <x v="5"/>
    <x v="9"/>
    <x v="15"/>
  </r>
  <r>
    <x v="3"/>
    <x v="6"/>
    <x v="10"/>
    <x v="16"/>
  </r>
  <r>
    <x v="3"/>
    <x v="6"/>
    <x v="10"/>
    <x v="16"/>
  </r>
  <r>
    <x v="3"/>
    <x v="6"/>
    <x v="10"/>
    <x v="16"/>
  </r>
</pivotCacheRecords>
</file>

<file path=xl/pivotCache/pivotCacheRecords5.xml><?xml version="1.0" encoding="utf-8"?>
<pivotCacheRecords xmlns="http://schemas.openxmlformats.org/spreadsheetml/2006/main" xmlns:r="http://schemas.openxmlformats.org/officeDocument/2006/relationships" count="20">
  <r>
    <x v="0"/>
  </r>
  <r>
    <x v="0"/>
  </r>
  <r>
    <x v="0"/>
  </r>
  <r>
    <x v="1"/>
  </r>
  <r>
    <x v="1"/>
  </r>
  <r>
    <x v="1"/>
  </r>
  <r>
    <x v="1"/>
  </r>
  <r>
    <x v="2"/>
  </r>
  <r>
    <x v="2"/>
  </r>
  <r>
    <x v="2"/>
  </r>
  <r>
    <x v="2"/>
  </r>
  <r>
    <x v="2"/>
  </r>
  <r>
    <x v="2"/>
  </r>
  <r>
    <x v="2"/>
  </r>
  <r>
    <x v="3"/>
  </r>
  <r>
    <x v="3"/>
  </r>
  <r>
    <x v="4"/>
  </r>
  <r>
    <x v="5"/>
  </r>
  <r>
    <x v="5"/>
  </r>
  <r>
    <x v="5"/>
  </r>
</pivotCacheRecords>
</file>

<file path=xl/pivotCache/pivotCacheRecords6.xml><?xml version="1.0" encoding="utf-8"?>
<pivotCacheRecords xmlns="http://schemas.openxmlformats.org/spreadsheetml/2006/main" xmlns:r="http://schemas.openxmlformats.org/officeDocument/2006/relationships" count="20">
  <r>
    <x v="0"/>
    <x v="0"/>
  </r>
  <r>
    <x v="0"/>
    <x v="0"/>
  </r>
  <r>
    <x v="0"/>
    <x v="0"/>
  </r>
  <r>
    <x v="1"/>
    <x v="1"/>
  </r>
  <r>
    <x v="1"/>
    <x v="2"/>
  </r>
  <r>
    <x v="1"/>
    <x v="2"/>
  </r>
  <r>
    <x v="1"/>
    <x v="2"/>
  </r>
  <r>
    <x v="2"/>
    <x v="3"/>
  </r>
  <r>
    <x v="2"/>
    <x v="4"/>
  </r>
  <r>
    <x v="2"/>
    <x v="4"/>
  </r>
  <r>
    <x v="2"/>
    <x v="5"/>
  </r>
  <r>
    <x v="2"/>
    <x v="5"/>
  </r>
  <r>
    <x v="2"/>
    <x v="5"/>
  </r>
  <r>
    <x v="2"/>
    <x v="5"/>
  </r>
  <r>
    <x v="3"/>
    <x v="6"/>
  </r>
  <r>
    <x v="3"/>
    <x v="6"/>
  </r>
  <r>
    <x v="4"/>
    <x v="7"/>
  </r>
  <r>
    <x v="5"/>
    <x v="8"/>
  </r>
  <r>
    <x v="5"/>
    <x v="8"/>
  </r>
  <r>
    <x v="5"/>
    <x v="8"/>
  </r>
</pivotCacheRecords>
</file>

<file path=xl/pivotCache/pivotCacheRecords7.xml><?xml version="1.0" encoding="utf-8"?>
<pivotCacheRecords xmlns="http://schemas.openxmlformats.org/spreadsheetml/2006/main" xmlns:r="http://schemas.openxmlformats.org/officeDocument/2006/relationships" count="20">
  <r>
    <n v="1"/>
    <s v="ML"/>
    <x v="0"/>
    <x v="0"/>
    <x v="0"/>
    <m/>
  </r>
  <r>
    <n v="2"/>
    <s v="ML"/>
    <x v="0"/>
    <x v="0"/>
    <x v="1"/>
    <m/>
  </r>
  <r>
    <n v="3"/>
    <s v="ML"/>
    <x v="0"/>
    <x v="0"/>
    <x v="2"/>
    <m/>
  </r>
  <r>
    <n v="4"/>
    <s v="SOBARO"/>
    <x v="1"/>
    <x v="1"/>
    <x v="3"/>
    <m/>
  </r>
  <r>
    <n v="5"/>
    <s v="SOLEVL"/>
    <x v="1"/>
    <x v="2"/>
    <x v="4"/>
    <m/>
  </r>
  <r>
    <n v="6"/>
    <s v="SOLEVL"/>
    <x v="1"/>
    <x v="2"/>
    <x v="5"/>
    <d v="2009-01-27T00:00:00"/>
  </r>
  <r>
    <n v="7"/>
    <s v="SOLEVL"/>
    <x v="1"/>
    <x v="2"/>
    <x v="6"/>
    <d v="2009-01-27T00:00:00"/>
  </r>
  <r>
    <n v="8"/>
    <s v="T8"/>
    <x v="2"/>
    <x v="3"/>
    <x v="7"/>
    <m/>
  </r>
  <r>
    <n v="9"/>
    <s v="TG"/>
    <x v="2"/>
    <x v="4"/>
    <x v="8"/>
    <d v="2001-09-10T00:00:00"/>
  </r>
  <r>
    <n v="10"/>
    <s v="TG"/>
    <x v="2"/>
    <x v="4"/>
    <x v="9"/>
    <m/>
  </r>
  <r>
    <n v="11"/>
    <s v="TR"/>
    <x v="2"/>
    <x v="5"/>
    <x v="10"/>
    <m/>
  </r>
  <r>
    <n v="12"/>
    <s v="TR"/>
    <x v="2"/>
    <x v="5"/>
    <x v="11"/>
    <m/>
  </r>
  <r>
    <n v="13"/>
    <s v="TR"/>
    <x v="2"/>
    <x v="5"/>
    <x v="12"/>
    <m/>
  </r>
  <r>
    <n v="14"/>
    <s v="TR"/>
    <x v="2"/>
    <x v="5"/>
    <x v="13"/>
    <m/>
  </r>
  <r>
    <n v="15"/>
    <s v="HO"/>
    <x v="3"/>
    <x v="6"/>
    <x v="14"/>
    <d v="2005-04-18T00:00:00"/>
  </r>
  <r>
    <n v="16"/>
    <s v="HO"/>
    <x v="3"/>
    <x v="6"/>
    <x v="15"/>
    <d v="2005-04-18T00:00:00"/>
  </r>
  <r>
    <n v="17"/>
    <s v="CE"/>
    <x v="4"/>
    <x v="7"/>
    <x v="16"/>
    <m/>
  </r>
  <r>
    <m/>
    <m/>
    <x v="5"/>
    <x v="8"/>
    <x v="17"/>
    <m/>
  </r>
  <r>
    <m/>
    <m/>
    <x v="5"/>
    <x v="8"/>
    <x v="17"/>
    <m/>
  </r>
  <r>
    <m/>
    <m/>
    <x v="5"/>
    <x v="8"/>
    <x v="17"/>
    <m/>
  </r>
</pivotCacheRecords>
</file>

<file path=xl/pivotCache/pivotCacheRecords8.xml><?xml version="1.0" encoding="utf-8"?>
<pivotCacheRecords xmlns="http://schemas.openxmlformats.org/spreadsheetml/2006/main" xmlns:r="http://schemas.openxmlformats.org/officeDocument/2006/relationships" count="343">
  <r>
    <n v="1"/>
    <x v="0"/>
    <x v="0"/>
    <s v="%"/>
  </r>
  <r>
    <n v="2"/>
    <x v="1"/>
    <x v="1"/>
    <s v="deg"/>
  </r>
  <r>
    <n v="3"/>
    <x v="2"/>
    <x v="1"/>
    <s v="grad"/>
  </r>
  <r>
    <n v="4"/>
    <x v="3"/>
    <x v="1"/>
    <s v="rad"/>
  </r>
  <r>
    <n v="5"/>
    <x v="4"/>
    <x v="1"/>
    <s v="degN"/>
  </r>
  <r>
    <n v="6"/>
    <x v="5"/>
    <x v="1"/>
    <s v="degS"/>
  </r>
  <r>
    <n v="7"/>
    <x v="6"/>
    <x v="1"/>
    <s v="degW"/>
  </r>
  <r>
    <n v="8"/>
    <x v="7"/>
    <x v="1"/>
    <s v="degE"/>
  </r>
  <r>
    <n v="9"/>
    <x v="8"/>
    <x v="1"/>
    <s v="arcmin"/>
  </r>
  <r>
    <n v="10"/>
    <x v="9"/>
    <x v="1"/>
    <s v="arcsec"/>
  </r>
  <r>
    <n v="11"/>
    <x v="10"/>
    <x v="1"/>
    <s v="sr"/>
  </r>
  <r>
    <n v="12"/>
    <x v="11"/>
    <x v="2"/>
    <s v="ac"/>
  </r>
  <r>
    <n v="13"/>
    <x v="12"/>
    <x v="2"/>
    <s v="ha"/>
  </r>
  <r>
    <n v="14"/>
    <x v="13"/>
    <x v="2"/>
    <s v="cm2"/>
  </r>
  <r>
    <n v="15"/>
    <x v="14"/>
    <x v="2"/>
    <s v="ft2"/>
  </r>
  <r>
    <n v="16"/>
    <x v="15"/>
    <x v="2"/>
    <s v="km2"/>
  </r>
  <r>
    <n v="17"/>
    <x v="16"/>
    <x v="2"/>
    <s v="m2"/>
  </r>
  <r>
    <n v="18"/>
    <x v="17"/>
    <x v="2"/>
    <s v="mi2"/>
  </r>
  <r>
    <n v="19"/>
    <x v="18"/>
    <x v="3"/>
    <s v="Hz"/>
  </r>
  <r>
    <n v="20"/>
    <x v="19"/>
    <x v="4"/>
    <s v="D"/>
  </r>
  <r>
    <n v="21"/>
    <x v="20"/>
    <x v="5"/>
    <s v="BTU"/>
  </r>
  <r>
    <n v="22"/>
    <x v="21"/>
    <x v="5"/>
    <s v="cal"/>
  </r>
  <r>
    <n v="23"/>
    <x v="22"/>
    <x v="5"/>
    <s v="erg"/>
  </r>
  <r>
    <n v="24"/>
    <x v="23"/>
    <x v="5"/>
    <s v="lbf ft"/>
  </r>
  <r>
    <n v="25"/>
    <x v="24"/>
    <x v="5"/>
    <s v="J"/>
  </r>
  <r>
    <n v="26"/>
    <x v="25"/>
    <x v="5"/>
    <s v="kW hr"/>
  </r>
  <r>
    <n v="27"/>
    <x v="26"/>
    <x v="5"/>
    <s v="eV"/>
  </r>
  <r>
    <n v="28"/>
    <x v="27"/>
    <x v="6"/>
    <s v="Ly/d"/>
  </r>
  <r>
    <n v="29"/>
    <x v="28"/>
    <x v="6"/>
    <s v="Ly/min"/>
  </r>
  <r>
    <n v="30"/>
    <x v="29"/>
    <x v="6"/>
    <s v="Ly/s"/>
  </r>
  <r>
    <n v="31"/>
    <x v="30"/>
    <x v="6"/>
    <s v="MJ/m2 d"/>
  </r>
  <r>
    <n v="32"/>
    <x v="31"/>
    <x v="6"/>
    <s v="W/cm2"/>
  </r>
  <r>
    <n v="33"/>
    <x v="32"/>
    <x v="6"/>
    <s v="W/m2"/>
  </r>
  <r>
    <n v="34"/>
    <x v="33"/>
    <x v="7"/>
    <s v="ac ft/yr"/>
  </r>
  <r>
    <n v="35"/>
    <x v="34"/>
    <x v="7"/>
    <s v="cfs"/>
  </r>
  <r>
    <n v="36"/>
    <x v="35"/>
    <x v="7"/>
    <s v="m3/s"/>
  </r>
  <r>
    <n v="37"/>
    <x v="36"/>
    <x v="7"/>
    <s v="m3/d"/>
  </r>
  <r>
    <n v="38"/>
    <x v="37"/>
    <x v="7"/>
    <s v="gpm"/>
  </r>
  <r>
    <n v="39"/>
    <x v="38"/>
    <x v="7"/>
    <s v="L/s"/>
  </r>
  <r>
    <n v="40"/>
    <x v="39"/>
    <x v="7"/>
    <s v="MGD"/>
  </r>
  <r>
    <n v="41"/>
    <x v="40"/>
    <x v="8"/>
    <s v="dyn"/>
  </r>
  <r>
    <n v="42"/>
    <x v="41"/>
    <x v="8"/>
    <s v="kgf"/>
  </r>
  <r>
    <n v="43"/>
    <x v="42"/>
    <x v="8"/>
    <s v="N"/>
  </r>
  <r>
    <n v="44"/>
    <x v="43"/>
    <x v="8"/>
    <s v="lbf"/>
  </r>
  <r>
    <n v="45"/>
    <x v="44"/>
    <x v="8"/>
    <s v="kip"/>
  </r>
  <r>
    <n v="46"/>
    <x v="45"/>
    <x v="8"/>
    <s v="ozf"/>
  </r>
  <r>
    <n v="47"/>
    <x v="46"/>
    <x v="9"/>
    <s v="cm"/>
  </r>
  <r>
    <n v="48"/>
    <x v="47"/>
    <x v="9"/>
    <s v="ft"/>
  </r>
  <r>
    <n v="49"/>
    <x v="48"/>
    <x v="9"/>
    <s v="in"/>
  </r>
  <r>
    <n v="50"/>
    <x v="49"/>
    <x v="9"/>
    <s v="yd"/>
  </r>
  <r>
    <n v="51"/>
    <x v="50"/>
    <x v="9"/>
    <s v="km"/>
  </r>
  <r>
    <n v="52"/>
    <x v="51"/>
    <x v="9"/>
    <s v="m"/>
  </r>
  <r>
    <n v="53"/>
    <x v="52"/>
    <x v="9"/>
    <s v="mi"/>
  </r>
  <r>
    <n v="54"/>
    <x v="53"/>
    <x v="9"/>
    <s v="mm"/>
  </r>
  <r>
    <n v="55"/>
    <x v="54"/>
    <x v="9"/>
    <s v="um"/>
  </r>
  <r>
    <n v="56"/>
    <x v="55"/>
    <x v="9"/>
    <s v="Ã…"/>
  </r>
  <r>
    <n v="57"/>
    <x v="56"/>
    <x v="9"/>
    <s v="fm"/>
  </r>
  <r>
    <n v="58"/>
    <x v="57"/>
    <x v="9"/>
    <s v="nmi"/>
  </r>
  <r>
    <n v="59"/>
    <x v="58"/>
    <x v="10"/>
    <s v="lm"/>
  </r>
  <r>
    <n v="60"/>
    <x v="59"/>
    <x v="10"/>
    <s v="lx"/>
  </r>
  <r>
    <n v="61"/>
    <x v="60"/>
    <x v="10"/>
    <s v="La"/>
  </r>
  <r>
    <n v="62"/>
    <x v="61"/>
    <x v="10"/>
    <s v="sb"/>
  </r>
  <r>
    <n v="63"/>
    <x v="62"/>
    <x v="10"/>
    <s v="ph"/>
  </r>
  <r>
    <n v="64"/>
    <x v="63"/>
    <x v="10"/>
    <s v="Ly"/>
  </r>
  <r>
    <n v="65"/>
    <x v="64"/>
    <x v="11"/>
    <s v="g"/>
  </r>
  <r>
    <n v="66"/>
    <x v="65"/>
    <x v="11"/>
    <s v="kg"/>
  </r>
  <r>
    <n v="67"/>
    <x v="66"/>
    <x v="11"/>
    <s v="mg"/>
  </r>
  <r>
    <n v="68"/>
    <x v="67"/>
    <x v="11"/>
    <s v="ug"/>
  </r>
  <r>
    <n v="69"/>
    <x v="68"/>
    <x v="11"/>
    <s v="lb"/>
  </r>
  <r>
    <n v="70"/>
    <x v="69"/>
    <x v="11"/>
    <s v="slug"/>
  </r>
  <r>
    <n v="71"/>
    <x v="70"/>
    <x v="11"/>
    <s v="tonne"/>
  </r>
  <r>
    <n v="72"/>
    <x v="71"/>
    <x v="11"/>
    <s v="grain"/>
  </r>
  <r>
    <n v="73"/>
    <x v="72"/>
    <x v="11"/>
    <s v="car"/>
  </r>
  <r>
    <n v="74"/>
    <x v="73"/>
    <x v="11"/>
    <s v="amu"/>
  </r>
  <r>
    <n v="75"/>
    <x v="74"/>
    <x v="11"/>
    <s v="ton"/>
  </r>
  <r>
    <n v="76"/>
    <x v="75"/>
    <x v="12"/>
    <s v="BTU/hr"/>
  </r>
  <r>
    <n v="77"/>
    <x v="76"/>
    <x v="12"/>
    <s v="lbf/s"/>
  </r>
  <r>
    <n v="78"/>
    <x v="77"/>
    <x v="12"/>
    <s v="hp"/>
  </r>
  <r>
    <n v="79"/>
    <x v="78"/>
    <x v="12"/>
    <s v="kW"/>
  </r>
  <r>
    <n v="80"/>
    <x v="79"/>
    <x v="12"/>
    <s v="W"/>
  </r>
  <r>
    <n v="81"/>
    <x v="80"/>
    <x v="12"/>
    <s v="VA"/>
  </r>
  <r>
    <n v="82"/>
    <x v="81"/>
    <x v="13"/>
    <s v="atm"/>
  </r>
  <r>
    <n v="83"/>
    <x v="82"/>
    <x v="13"/>
    <s v="Pa"/>
  </r>
  <r>
    <n v="84"/>
    <x v="83"/>
    <x v="13"/>
    <s v="inch Hg"/>
  </r>
  <r>
    <n v="85"/>
    <x v="84"/>
    <x v="13"/>
    <s v="inch H2O"/>
  </r>
  <r>
    <n v="86"/>
    <x v="85"/>
    <x v="13"/>
    <s v="mm Hg"/>
  </r>
  <r>
    <n v="87"/>
    <x v="86"/>
    <x v="13"/>
    <s v="mm H2O"/>
  </r>
  <r>
    <n v="88"/>
    <x v="87"/>
    <x v="13"/>
    <s v="cm Hg"/>
  </r>
  <r>
    <n v="89"/>
    <x v="88"/>
    <x v="13"/>
    <s v="cm H2O"/>
  </r>
  <r>
    <n v="90"/>
    <x v="89"/>
    <x v="13"/>
    <s v="mbar"/>
  </r>
  <r>
    <n v="91"/>
    <x v="90"/>
    <x v="13"/>
    <s v="psi"/>
  </r>
  <r>
    <n v="92"/>
    <x v="91"/>
    <x v="13"/>
    <s v="torr"/>
  </r>
  <r>
    <n v="93"/>
    <x v="92"/>
    <x v="13"/>
    <s v="barie"/>
  </r>
  <r>
    <n v="94"/>
    <x v="93"/>
    <x v="14"/>
    <s v="meters per pixel"/>
  </r>
  <r>
    <n v="95"/>
    <x v="94"/>
    <x v="15"/>
    <s v="-"/>
  </r>
  <r>
    <n v="96"/>
    <x v="95"/>
    <x v="16"/>
    <s v="degC"/>
  </r>
  <r>
    <n v="97"/>
    <x v="96"/>
    <x v="16"/>
    <s v="degF"/>
  </r>
  <r>
    <n v="98"/>
    <x v="97"/>
    <x v="16"/>
    <s v="degR"/>
  </r>
  <r>
    <n v="99"/>
    <x v="98"/>
    <x v="16"/>
    <s v="degK"/>
  </r>
  <r>
    <n v="100"/>
    <x v="99"/>
    <x v="17"/>
    <s v="s"/>
  </r>
  <r>
    <n v="101"/>
    <x v="100"/>
    <x v="17"/>
    <s v="millisec"/>
  </r>
  <r>
    <n v="102"/>
    <x v="101"/>
    <x v="17"/>
    <s v="min"/>
  </r>
  <r>
    <n v="103"/>
    <x v="102"/>
    <x v="17"/>
    <s v="hr"/>
  </r>
  <r>
    <n v="104"/>
    <x v="103"/>
    <x v="17"/>
    <s v="d"/>
  </r>
  <r>
    <n v="105"/>
    <x v="104"/>
    <x v="17"/>
    <s v="week"/>
  </r>
  <r>
    <n v="106"/>
    <x v="105"/>
    <x v="17"/>
    <s v="month"/>
  </r>
  <r>
    <n v="107"/>
    <x v="106"/>
    <x v="17"/>
    <s v="yr"/>
  </r>
  <r>
    <n v="108"/>
    <x v="107"/>
    <x v="17"/>
    <s v="leap yr"/>
  </r>
  <r>
    <n v="109"/>
    <x v="108"/>
    <x v="17"/>
    <s v="jul yr"/>
  </r>
  <r>
    <n v="110"/>
    <x v="109"/>
    <x v="17"/>
    <s v="greg yr"/>
  </r>
  <r>
    <n v="111"/>
    <x v="110"/>
    <x v="18"/>
    <s v="cm/hr"/>
  </r>
  <r>
    <n v="112"/>
    <x v="111"/>
    <x v="18"/>
    <s v="cm/s"/>
  </r>
  <r>
    <n v="113"/>
    <x v="112"/>
    <x v="18"/>
    <s v="ft/s"/>
  </r>
  <r>
    <n v="114"/>
    <x v="113"/>
    <x v="18"/>
    <s v="gpd/ft2"/>
  </r>
  <r>
    <n v="115"/>
    <x v="114"/>
    <x v="18"/>
    <s v="in/hr"/>
  </r>
  <r>
    <n v="116"/>
    <x v="115"/>
    <x v="18"/>
    <s v="km/h"/>
  </r>
  <r>
    <n v="117"/>
    <x v="116"/>
    <x v="18"/>
    <s v="m/d"/>
  </r>
  <r>
    <n v="118"/>
    <x v="117"/>
    <x v="18"/>
    <s v="m/hr"/>
  </r>
  <r>
    <n v="119"/>
    <x v="118"/>
    <x v="18"/>
    <s v="m/s"/>
  </r>
  <r>
    <n v="120"/>
    <x v="119"/>
    <x v="18"/>
    <s v="mph"/>
  </r>
  <r>
    <n v="121"/>
    <x v="120"/>
    <x v="18"/>
    <s v="mm/hr"/>
  </r>
  <r>
    <n v="122"/>
    <x v="121"/>
    <x v="18"/>
    <s v="knot"/>
  </r>
  <r>
    <n v="123"/>
    <x v="122"/>
    <x v="19"/>
    <s v="ac ft"/>
  </r>
  <r>
    <n v="124"/>
    <x v="123"/>
    <x v="19"/>
    <s v="cc"/>
  </r>
  <r>
    <n v="125"/>
    <x v="124"/>
    <x v="19"/>
    <s v="ft3"/>
  </r>
  <r>
    <n v="126"/>
    <x v="125"/>
    <x v="19"/>
    <s v="m3"/>
  </r>
  <r>
    <n v="127"/>
    <x v="126"/>
    <x v="19"/>
    <s v="hec m"/>
  </r>
  <r>
    <n v="128"/>
    <x v="127"/>
    <x v="19"/>
    <s v="L"/>
  </r>
  <r>
    <n v="129"/>
    <x v="128"/>
    <x v="19"/>
    <s v="gal"/>
  </r>
  <r>
    <n v="130"/>
    <x v="129"/>
    <x v="19"/>
    <s v="bbl"/>
  </r>
  <r>
    <n v="131"/>
    <x v="130"/>
    <x v="19"/>
    <s v="pt"/>
  </r>
  <r>
    <n v="132"/>
    <x v="131"/>
    <x v="19"/>
    <s v="bu"/>
  </r>
  <r>
    <n v="133"/>
    <x v="132"/>
    <x v="19"/>
    <s v="tsp"/>
  </r>
  <r>
    <n v="134"/>
    <x v="133"/>
    <x v="19"/>
    <s v="tbsp"/>
  </r>
  <r>
    <n v="135"/>
    <x v="134"/>
    <x v="19"/>
    <s v="qrt"/>
  </r>
  <r>
    <n v="136"/>
    <x v="135"/>
    <x v="19"/>
    <s v="oz"/>
  </r>
  <r>
    <n v="137"/>
    <x v="136"/>
    <x v="0"/>
    <s v="-"/>
  </r>
  <r>
    <n v="138"/>
    <x v="137"/>
    <x v="5"/>
    <s v="MJ"/>
  </r>
  <r>
    <n v="139"/>
    <x v="138"/>
    <x v="1"/>
    <s v="dddmmss"/>
  </r>
  <r>
    <n v="140"/>
    <x v="139"/>
    <x v="6"/>
    <s v="cal/cm2 d"/>
  </r>
  <r>
    <n v="141"/>
    <x v="140"/>
    <x v="6"/>
    <s v="cal/cm2 min"/>
  </r>
  <r>
    <n v="142"/>
    <x v="141"/>
    <x v="20"/>
    <s v="ml/cm2 d"/>
  </r>
  <r>
    <n v="143"/>
    <x v="142"/>
    <x v="21"/>
    <s v="umol/m2 s"/>
  </r>
  <r>
    <n v="144"/>
    <x v="143"/>
    <x v="22"/>
    <s v="MJ/m2"/>
  </r>
  <r>
    <n v="145"/>
    <x v="144"/>
    <x v="7"/>
    <s v="gpd"/>
  </r>
  <r>
    <n v="146"/>
    <x v="145"/>
    <x v="7"/>
    <s v="MGM"/>
  </r>
  <r>
    <n v="147"/>
    <x v="146"/>
    <x v="7"/>
    <s v="MGY"/>
  </r>
  <r>
    <n v="148"/>
    <x v="147"/>
    <x v="23"/>
    <s v="ton/d ft"/>
  </r>
  <r>
    <n v="149"/>
    <x v="148"/>
    <x v="24"/>
    <s v="lm/ft2"/>
  </r>
  <r>
    <n v="150"/>
    <x v="149"/>
    <x v="24"/>
    <s v="uE/m2 s"/>
  </r>
  <r>
    <n v="151"/>
    <x v="150"/>
    <x v="10"/>
    <s v="a/m"/>
  </r>
  <r>
    <n v="152"/>
    <x v="151"/>
    <x v="10"/>
    <s v="uE/m2"/>
  </r>
  <r>
    <n v="153"/>
    <x v="152"/>
    <x v="10"/>
    <s v="mmol/m2"/>
  </r>
  <r>
    <n v="154"/>
    <x v="153"/>
    <x v="25"/>
    <s v="A/cm"/>
  </r>
  <r>
    <n v="155"/>
    <x v="154"/>
    <x v="11"/>
    <s v="ng"/>
  </r>
  <r>
    <n v="156"/>
    <x v="155"/>
    <x v="11"/>
    <s v="pg"/>
  </r>
  <r>
    <n v="157"/>
    <x v="156"/>
    <x v="11"/>
    <s v="meq"/>
  </r>
  <r>
    <n v="158"/>
    <x v="157"/>
    <x v="26"/>
    <s v="g/m2"/>
  </r>
  <r>
    <n v="159"/>
    <x v="158"/>
    <x v="26"/>
    <s v="mg/m2"/>
  </r>
  <r>
    <n v="160"/>
    <x v="159"/>
    <x v="26"/>
    <s v="ug/m2"/>
  </r>
  <r>
    <n v="161"/>
    <x v="160"/>
    <x v="27"/>
    <s v="g/m2 d"/>
  </r>
  <r>
    <n v="162"/>
    <x v="161"/>
    <x v="28"/>
    <s v="g/d"/>
  </r>
  <r>
    <n v="163"/>
    <x v="162"/>
    <x v="28"/>
    <s v="lb/d"/>
  </r>
  <r>
    <n v="164"/>
    <x v="163"/>
    <x v="28"/>
    <s v="lb/mi"/>
  </r>
  <r>
    <n v="165"/>
    <x v="164"/>
    <x v="28"/>
    <s v="ton/d"/>
  </r>
  <r>
    <n v="166"/>
    <x v="165"/>
    <x v="29"/>
    <s v="mg/m3 d"/>
  </r>
  <r>
    <n v="167"/>
    <x v="166"/>
    <x v="29"/>
    <s v="mg/m2 d"/>
  </r>
  <r>
    <n v="168"/>
    <x v="167"/>
    <x v="30"/>
    <s v="V"/>
  </r>
  <r>
    <n v="169"/>
    <x v="168"/>
    <x v="30"/>
    <s v="mV"/>
  </r>
  <r>
    <n v="170"/>
    <x v="169"/>
    <x v="13"/>
    <s v="kPa"/>
  </r>
  <r>
    <n v="171"/>
    <x v="170"/>
    <x v="13"/>
    <s v="MPa"/>
  </r>
  <r>
    <n v="172"/>
    <x v="171"/>
    <x v="31"/>
    <s v="Bq"/>
  </r>
  <r>
    <n v="173"/>
    <x v="172"/>
    <x v="31"/>
    <s v="Bq/g"/>
  </r>
  <r>
    <n v="174"/>
    <x v="173"/>
    <x v="31"/>
    <s v="Ci"/>
  </r>
  <r>
    <n v="175"/>
    <x v="174"/>
    <x v="31"/>
    <s v="pCi"/>
  </r>
  <r>
    <n v="176"/>
    <x v="175"/>
    <x v="32"/>
    <s v="ohm"/>
  </r>
  <r>
    <n v="177"/>
    <x v="176"/>
    <x v="33"/>
    <s v="ohm m"/>
  </r>
  <r>
    <n v="178"/>
    <x v="177"/>
    <x v="34"/>
    <s v="pCi/g"/>
  </r>
  <r>
    <n v="179"/>
    <x v="178"/>
    <x v="34"/>
    <s v="pCi/L"/>
  </r>
  <r>
    <n v="180"/>
    <x v="179"/>
    <x v="34"/>
    <s v="pCi/ml"/>
  </r>
  <r>
    <n v="181"/>
    <x v="180"/>
    <x v="17"/>
    <s v="hhmm"/>
  </r>
  <r>
    <n v="182"/>
    <x v="181"/>
    <x v="17"/>
    <s v="yymmdd"/>
  </r>
  <r>
    <n v="183"/>
    <x v="182"/>
    <x v="17"/>
    <s v="yyddd"/>
  </r>
  <r>
    <n v="184"/>
    <x v="183"/>
    <x v="18"/>
    <s v="in/d"/>
  </r>
  <r>
    <n v="185"/>
    <x v="184"/>
    <x v="18"/>
    <s v="in/week"/>
  </r>
  <r>
    <n v="186"/>
    <x v="185"/>
    <x v="35"/>
    <s v="in/storm"/>
  </r>
  <r>
    <n v="187"/>
    <x v="186"/>
    <x v="19"/>
    <s v="10^3 ac ft"/>
  </r>
  <r>
    <n v="188"/>
    <x v="187"/>
    <x v="19"/>
    <s v="ml"/>
  </r>
  <r>
    <n v="189"/>
    <x v="188"/>
    <x v="19"/>
    <s v="cfs d"/>
  </r>
  <r>
    <n v="190"/>
    <x v="189"/>
    <x v="19"/>
    <s v="10^3 gal"/>
  </r>
  <r>
    <n v="191"/>
    <x v="190"/>
    <x v="19"/>
    <s v="10^6 gal"/>
  </r>
  <r>
    <n v="192"/>
    <x v="191"/>
    <x v="36"/>
    <s v="uS/cm"/>
  </r>
  <r>
    <n v="193"/>
    <x v="192"/>
    <x v="37"/>
    <s v="psu"/>
  </r>
  <r>
    <n v="194"/>
    <x v="193"/>
    <x v="38"/>
    <s v="dB"/>
  </r>
  <r>
    <n v="195"/>
    <x v="194"/>
    <x v="39"/>
    <s v="cm3/g"/>
  </r>
  <r>
    <n v="196"/>
    <x v="195"/>
    <x v="40"/>
    <s v="m2/g"/>
  </r>
  <r>
    <n v="197"/>
    <x v="196"/>
    <x v="41"/>
    <s v="ton/ac ft"/>
  </r>
  <r>
    <n v="198"/>
    <x v="197"/>
    <x v="41"/>
    <s v="g/cm3"/>
  </r>
  <r>
    <n v="199"/>
    <x v="198"/>
    <x v="41"/>
    <s v="mg/L"/>
  </r>
  <r>
    <n v="200"/>
    <x v="199"/>
    <x v="41"/>
    <s v="ng/m3"/>
  </r>
  <r>
    <n v="201"/>
    <x v="200"/>
    <x v="41"/>
    <s v="ng/L"/>
  </r>
  <r>
    <n v="202"/>
    <x v="201"/>
    <x v="41"/>
    <s v="g/L"/>
  </r>
  <r>
    <n v="203"/>
    <x v="202"/>
    <x v="41"/>
    <s v="ug/m3"/>
  </r>
  <r>
    <n v="204"/>
    <x v="203"/>
    <x v="41"/>
    <s v="ug/L"/>
  </r>
  <r>
    <n v="205"/>
    <x v="204"/>
    <x v="41"/>
    <s v="ppm"/>
  </r>
  <r>
    <n v="206"/>
    <x v="205"/>
    <x v="41"/>
    <s v="ppb"/>
  </r>
  <r>
    <n v="207"/>
    <x v="206"/>
    <x v="41"/>
    <s v="ppt"/>
  </r>
  <r>
    <n v="208"/>
    <x v="207"/>
    <x v="41"/>
    <s v="ppqt"/>
  </r>
  <r>
    <n v="209"/>
    <x v="208"/>
    <x v="41"/>
    <s v="ppq"/>
  </r>
  <r>
    <n v="210"/>
    <x v="209"/>
    <x v="41"/>
    <s v="%o"/>
  </r>
  <r>
    <n v="211"/>
    <x v="210"/>
    <x v="41"/>
    <s v="ueq/L"/>
  </r>
  <r>
    <n v="212"/>
    <x v="211"/>
    <x v="41"/>
    <s v="meq/L"/>
  </r>
  <r>
    <n v="213"/>
    <x v="212"/>
    <x v="41"/>
    <s v="meq/100 g"/>
  </r>
  <r>
    <n v="214"/>
    <x v="213"/>
    <x v="41"/>
    <s v="mOsm/kg"/>
  </r>
  <r>
    <n v="215"/>
    <x v="214"/>
    <x v="41"/>
    <s v="nmol/L"/>
  </r>
  <r>
    <n v="216"/>
    <x v="215"/>
    <x v="41"/>
    <s v="pg/m3"/>
  </r>
  <r>
    <n v="217"/>
    <x v="216"/>
    <x v="41"/>
    <s v="pg/L"/>
  </r>
  <r>
    <n v="218"/>
    <x v="217"/>
    <x v="41"/>
    <s v="pg/ml"/>
  </r>
  <r>
    <n v="219"/>
    <x v="218"/>
    <x v="41"/>
    <s v="TU"/>
  </r>
  <r>
    <n v="220"/>
    <x v="219"/>
    <x v="42"/>
    <s v="JTU"/>
  </r>
  <r>
    <n v="221"/>
    <x v="220"/>
    <x v="42"/>
    <s v="NTU"/>
  </r>
  <r>
    <n v="222"/>
    <x v="221"/>
    <x v="42"/>
    <s v="NTMU"/>
  </r>
  <r>
    <n v="223"/>
    <x v="222"/>
    <x v="42"/>
    <s v="NTRU"/>
  </r>
  <r>
    <n v="224"/>
    <x v="223"/>
    <x v="42"/>
    <s v="FNMU"/>
  </r>
  <r>
    <n v="225"/>
    <x v="224"/>
    <x v="42"/>
    <s v="FNRU"/>
  </r>
  <r>
    <n v="226"/>
    <x v="225"/>
    <x v="42"/>
    <s v="FNU"/>
  </r>
  <r>
    <n v="227"/>
    <x v="226"/>
    <x v="42"/>
    <s v="FAU"/>
  </r>
  <r>
    <n v="228"/>
    <x v="227"/>
    <x v="42"/>
    <s v="FBU"/>
  </r>
  <r>
    <n v="229"/>
    <x v="228"/>
    <x v="42"/>
    <s v="BU"/>
  </r>
  <r>
    <n v="230"/>
    <x v="229"/>
    <x v="42"/>
    <s v="AU"/>
  </r>
  <r>
    <n v="231"/>
    <x v="230"/>
    <x v="43"/>
    <s v="PCU"/>
  </r>
  <r>
    <n v="232"/>
    <x v="231"/>
    <x v="44"/>
    <s v="L/(mg DOC/cm)"/>
  </r>
  <r>
    <n v="233"/>
    <x v="232"/>
    <x v="45"/>
    <s v="10^9 colonies/d"/>
  </r>
  <r>
    <n v="234"/>
    <x v="233"/>
    <x v="46"/>
    <s v="#/m2"/>
  </r>
  <r>
    <n v="235"/>
    <x v="234"/>
    <x v="46"/>
    <s v="#/L"/>
  </r>
  <r>
    <n v="236"/>
    <x v="235"/>
    <x v="46"/>
    <s v="#/m3"/>
  </r>
  <r>
    <n v="237"/>
    <x v="236"/>
    <x v="46"/>
    <s v="cells/ml"/>
  </r>
  <r>
    <n v="238"/>
    <x v="237"/>
    <x v="46"/>
    <s v="cells/mm2"/>
  </r>
  <r>
    <n v="239"/>
    <x v="238"/>
    <x v="46"/>
    <s v="colonies/100 ml"/>
  </r>
  <r>
    <n v="240"/>
    <x v="239"/>
    <x v="46"/>
    <s v="colonies/ml"/>
  </r>
  <r>
    <n v="241"/>
    <x v="240"/>
    <x v="46"/>
    <s v="colonies/g"/>
  </r>
  <r>
    <n v="242"/>
    <x v="241"/>
    <x v="46"/>
    <s v="CFU/ml"/>
  </r>
  <r>
    <n v="243"/>
    <x v="242"/>
    <x v="46"/>
    <s v="cysts/10 L"/>
  </r>
  <r>
    <n v="244"/>
    <x v="243"/>
    <x v="46"/>
    <s v="cysts/100 L"/>
  </r>
  <r>
    <n v="245"/>
    <x v="244"/>
    <x v="46"/>
    <s v="oocysts/10 L"/>
  </r>
  <r>
    <n v="246"/>
    <x v="245"/>
    <x v="46"/>
    <s v="oocysts/100 L"/>
  </r>
  <r>
    <n v="247"/>
    <x v="246"/>
    <x v="46"/>
    <s v="MPN"/>
  </r>
  <r>
    <n v="248"/>
    <x v="247"/>
    <x v="46"/>
    <s v="MPN/100 L"/>
  </r>
  <r>
    <n v="249"/>
    <x v="248"/>
    <x v="46"/>
    <s v="MPN/100 ml"/>
  </r>
  <r>
    <n v="250"/>
    <x v="249"/>
    <x v="46"/>
    <s v="MPN/g"/>
  </r>
  <r>
    <n v="251"/>
    <x v="250"/>
    <x v="46"/>
    <s v="PFU/100 L"/>
  </r>
  <r>
    <n v="252"/>
    <x v="251"/>
    <x v="46"/>
    <s v="plaques/100 ml"/>
  </r>
  <r>
    <n v="253"/>
    <x v="252"/>
    <x v="47"/>
    <s v="#/s"/>
  </r>
  <r>
    <n v="254"/>
    <x v="253"/>
    <x v="47"/>
    <s v="1/d"/>
  </r>
  <r>
    <n v="255"/>
    <x v="254"/>
    <x v="48"/>
    <s v="ng/m2 hr"/>
  </r>
  <r>
    <n v="256"/>
    <x v="255"/>
    <x v="48"/>
    <s v="ng/m2 week"/>
  </r>
  <r>
    <n v="257"/>
    <x v="256"/>
    <x v="0"/>
    <s v="#"/>
  </r>
  <r>
    <n v="258"/>
    <x v="257"/>
    <x v="0"/>
    <s v="code"/>
  </r>
  <r>
    <n v="259"/>
    <x v="258"/>
    <x v="49"/>
    <s v="100/cm mg/L"/>
  </r>
  <r>
    <n v="260"/>
    <x v="259"/>
    <x v="50"/>
    <s v="1/L"/>
  </r>
  <r>
    <n v="261"/>
    <x v="260"/>
    <x v="51"/>
    <s v="%o/hr"/>
  </r>
  <r>
    <n v="262"/>
    <x v="261"/>
    <x v="7"/>
    <s v="gpb"/>
  </r>
  <r>
    <n v="263"/>
    <x v="262"/>
    <x v="41"/>
    <s v="ft3/bbl"/>
  </r>
  <r>
    <n v="264"/>
    <x v="263"/>
    <x v="41"/>
    <s v="%o by vol"/>
  </r>
  <r>
    <n v="265"/>
    <x v="264"/>
    <x v="51"/>
    <s v="%o/hr by vol"/>
  </r>
  <r>
    <n v="266"/>
    <x v="265"/>
    <x v="52"/>
    <s v="umol"/>
  </r>
  <r>
    <n v="267"/>
    <x v="266"/>
    <x v="53"/>
    <s v="tCaCO3/Kt"/>
  </r>
  <r>
    <n v="268"/>
    <x v="267"/>
    <x v="36"/>
    <s v="S/m"/>
  </r>
  <r>
    <n v="269"/>
    <x v="268"/>
    <x v="36"/>
    <s v="mS/cm"/>
  </r>
  <r>
    <n v="270"/>
    <x v="269"/>
    <x v="36"/>
    <s v="S/cm"/>
  </r>
  <r>
    <n v="271"/>
    <x v="270"/>
    <x v="37"/>
    <s v="pss"/>
  </r>
  <r>
    <n v="272"/>
    <x v="271"/>
    <x v="54"/>
    <s v="1/m"/>
  </r>
  <r>
    <n v="273"/>
    <x v="272"/>
    <x v="55"/>
    <s v="N"/>
  </r>
  <r>
    <n v="274"/>
    <x v="273"/>
    <x v="41"/>
    <s v="nmol/kg"/>
  </r>
  <r>
    <n v="275"/>
    <x v="274"/>
    <x v="41"/>
    <s v="mmol/kg"/>
  </r>
  <r>
    <n v="276"/>
    <x v="275"/>
    <x v="56"/>
    <s v="mmol/m2 hr"/>
  </r>
  <r>
    <n v="277"/>
    <x v="276"/>
    <x v="29"/>
    <s v="mg/m3 hr"/>
  </r>
  <r>
    <n v="278"/>
    <x v="277"/>
    <x v="28"/>
    <s v="mg/d"/>
  </r>
  <r>
    <n v="279"/>
    <x v="278"/>
    <x v="7"/>
    <s v="L/min"/>
  </r>
  <r>
    <n v="280"/>
    <x v="279"/>
    <x v="7"/>
    <s v="L/d"/>
  </r>
  <r>
    <n v="281"/>
    <x v="280"/>
    <x v="42"/>
    <s v="JCU"/>
  </r>
  <r>
    <n v="282"/>
    <x v="281"/>
    <x v="41"/>
    <s v="gpg"/>
  </r>
  <r>
    <n v="283"/>
    <x v="282"/>
    <x v="7"/>
    <s v="gps"/>
  </r>
  <r>
    <n v="284"/>
    <x v="283"/>
    <x v="7"/>
    <s v="gph"/>
  </r>
  <r>
    <n v="285"/>
    <x v="284"/>
    <x v="57"/>
    <s v="ftc"/>
  </r>
  <r>
    <n v="286"/>
    <x v="285"/>
    <x v="41"/>
    <s v="fibers/L"/>
  </r>
  <r>
    <n v="287"/>
    <x v="286"/>
    <x v="7"/>
    <s v="drips/min"/>
  </r>
  <r>
    <n v="288"/>
    <x v="287"/>
    <x v="7"/>
    <s v="cm3/sec"/>
  </r>
  <r>
    <n v="289"/>
    <x v="288"/>
    <x v="46"/>
    <s v="CFU"/>
  </r>
  <r>
    <n v="290"/>
    <x v="289"/>
    <x v="46"/>
    <s v="CFU/100 ml"/>
  </r>
  <r>
    <n v="291"/>
    <x v="290"/>
    <x v="7"/>
    <s v="cfm"/>
  </r>
  <r>
    <n v="292"/>
    <x v="291"/>
    <x v="43"/>
    <s v="ADMI"/>
  </r>
  <r>
    <n v="293"/>
    <x v="292"/>
    <x v="41"/>
    <s v="% by vol"/>
  </r>
  <r>
    <n v="294"/>
    <x v="293"/>
    <x v="46"/>
    <s v="#/500 ml"/>
  </r>
  <r>
    <n v="295"/>
    <x v="294"/>
    <x v="46"/>
    <s v="#/100 gal"/>
  </r>
  <r>
    <n v="296"/>
    <x v="295"/>
    <x v="29"/>
    <s v="g/m3 hr"/>
  </r>
  <r>
    <n v="297"/>
    <x v="296"/>
    <x v="28"/>
    <s v="g/min"/>
  </r>
  <r>
    <n v="298"/>
    <x v="297"/>
    <x v="28"/>
    <s v="g/s"/>
  </r>
  <r>
    <n v="299"/>
    <x v="298"/>
    <x v="19"/>
    <s v="10^6 ft3"/>
  </r>
  <r>
    <n v="300"/>
    <x v="299"/>
    <x v="17"/>
    <s v="mmyy"/>
  </r>
  <r>
    <n v="301"/>
    <x v="300"/>
    <x v="58"/>
    <s v="bar"/>
  </r>
  <r>
    <n v="302"/>
    <x v="301"/>
    <x v="36"/>
    <s v="dS/cm"/>
  </r>
  <r>
    <n v="303"/>
    <x v="302"/>
    <x v="41"/>
    <s v="umol/L"/>
  </r>
  <r>
    <n v="304"/>
    <x v="303"/>
    <x v="22"/>
    <s v="J/cm2"/>
  </r>
  <r>
    <n v="305"/>
    <x v="304"/>
    <x v="18"/>
    <s v="mm/day"/>
  </r>
  <r>
    <n v="306"/>
    <x v="305"/>
    <x v="41"/>
    <s v="ppth"/>
  </r>
  <r>
    <n v="307"/>
    <x v="306"/>
    <x v="19"/>
    <s v="ML"/>
  </r>
  <r>
    <n v="308"/>
    <x v="307"/>
    <x v="41"/>
    <s v="% Sat"/>
  </r>
  <r>
    <n v="309"/>
    <x v="308"/>
    <x v="0"/>
    <s v="pH"/>
  </r>
  <r>
    <n v="310"/>
    <x v="309"/>
    <x v="18"/>
    <s v="mm/s"/>
  </r>
  <r>
    <n v="311"/>
    <x v="310"/>
    <x v="7"/>
    <s v="L/hr"/>
  </r>
  <r>
    <n v="312"/>
    <x v="311"/>
    <x v="19"/>
    <s v="(hm)^3"/>
  </r>
  <r>
    <n v="313"/>
    <x v="312"/>
    <x v="59"/>
    <s v="mol/m3"/>
  </r>
  <r>
    <n v="314"/>
    <x v="313"/>
    <x v="28"/>
    <s v="kg/month"/>
  </r>
  <r>
    <n v="315"/>
    <x v="314"/>
    <x v="13"/>
    <s v="hPa"/>
  </r>
  <r>
    <n v="316"/>
    <x v="315"/>
    <x v="41"/>
    <s v="kg/m3"/>
  </r>
  <r>
    <n v="317"/>
    <x v="316"/>
    <x v="28"/>
    <s v="ton/month"/>
  </r>
  <r>
    <n v="318"/>
    <x v="317"/>
    <x v="56"/>
    <s v="g/m2 hr"/>
  </r>
  <r>
    <n v="319"/>
    <x v="318"/>
    <x v="41"/>
    <s v="mg/m3"/>
  </r>
  <r>
    <n v="320"/>
    <x v="319"/>
    <x v="18"/>
    <s v="m2/s2"/>
  </r>
  <r>
    <n v="321"/>
    <x v="320"/>
    <x v="16"/>
    <s v="(DegC)2"/>
  </r>
  <r>
    <n v="322"/>
    <x v="321"/>
    <x v="41"/>
    <s v="(mg/m3)2"/>
  </r>
  <r>
    <n v="323"/>
    <x v="322"/>
    <x v="16"/>
    <s v="m/s DegC"/>
  </r>
  <r>
    <n v="324"/>
    <x v="323"/>
    <x v="56"/>
    <s v="mmol/m2 s"/>
  </r>
  <r>
    <n v="325"/>
    <x v="324"/>
    <x v="41"/>
    <s v="DegC mmol/m3"/>
  </r>
  <r>
    <n v="326"/>
    <x v="325"/>
    <x v="41"/>
    <s v="mmol/m3"/>
  </r>
  <r>
    <n v="327"/>
    <x v="326"/>
    <x v="41"/>
    <s v="(mmol/m3)2"/>
  </r>
  <r>
    <n v="328"/>
    <x v="327"/>
    <x v="6"/>
    <s v="Ly/hr"/>
  </r>
  <r>
    <n v="329"/>
    <x v="328"/>
    <x v="35"/>
    <s v="hits/cm^2"/>
  </r>
  <r>
    <n v="330"/>
    <x v="329"/>
    <x v="18"/>
    <s v="hits/cm^2h"/>
  </r>
  <r>
    <n v="331"/>
    <x v="330"/>
    <x v="60"/>
    <s v="RFU"/>
  </r>
  <r>
    <n v="332"/>
    <x v="331"/>
    <x v="56"/>
    <s v="kg/ha d"/>
  </r>
  <r>
    <n v="333"/>
    <x v="332"/>
    <x v="6"/>
    <s v="kW/m2"/>
  </r>
  <r>
    <n v="334"/>
    <x v="333"/>
    <x v="41"/>
    <s v="cmol/kg"/>
  </r>
  <r>
    <n v="336"/>
    <x v="334"/>
    <x v="41"/>
    <s v="ug/g"/>
  </r>
  <r>
    <n v="337"/>
    <x v="335"/>
    <x v="26"/>
    <s v="kg/ha"/>
  </r>
  <r>
    <n v="338"/>
    <x v="336"/>
    <x v="61"/>
    <s v="m3/m3"/>
  </r>
  <r>
    <n v="341"/>
    <x v="337"/>
    <x v="41"/>
    <s v="umol/mol"/>
  </r>
  <r>
    <n v="342"/>
    <x v="338"/>
    <x v="41"/>
    <s v="mmol/mol"/>
  </r>
  <r>
    <n v="343"/>
    <x v="339"/>
    <x v="56"/>
    <s v="mg/m2 s"/>
  </r>
  <r>
    <m/>
    <x v="340"/>
    <x v="62"/>
    <m/>
  </r>
  <r>
    <m/>
    <x v="340"/>
    <x v="62"/>
    <m/>
  </r>
  <r>
    <m/>
    <x v="340"/>
    <x v="62"/>
    <m/>
  </r>
</pivotCacheRecords>
</file>

<file path=xl/pivotCache/pivotCacheRecords9.xml><?xml version="1.0" encoding="utf-8"?>
<pivotCacheRecords xmlns="http://schemas.openxmlformats.org/spreadsheetml/2006/main" xmlns:r="http://schemas.openxmlformats.org/officeDocument/2006/relationships" count="255">
  <r>
    <x v="0"/>
  </r>
  <r>
    <x v="1"/>
  </r>
  <r>
    <x v="2"/>
  </r>
  <r>
    <x v="2"/>
  </r>
  <r>
    <x v="1"/>
  </r>
  <r>
    <x v="0"/>
  </r>
  <r>
    <x v="2"/>
  </r>
  <r>
    <x v="3"/>
  </r>
  <r>
    <x v="4"/>
  </r>
  <r>
    <x v="2"/>
  </r>
  <r>
    <x v="2"/>
  </r>
  <r>
    <x v="2"/>
  </r>
  <r>
    <x v="2"/>
  </r>
  <r>
    <x v="2"/>
  </r>
  <r>
    <x v="2"/>
  </r>
  <r>
    <x v="2"/>
  </r>
  <r>
    <x v="1"/>
  </r>
  <r>
    <x v="0"/>
  </r>
  <r>
    <x v="4"/>
  </r>
  <r>
    <x v="4"/>
  </r>
  <r>
    <x v="4"/>
  </r>
  <r>
    <x v="4"/>
  </r>
  <r>
    <x v="4"/>
  </r>
  <r>
    <x v="4"/>
  </r>
  <r>
    <x v="4"/>
  </r>
  <r>
    <x v="4"/>
  </r>
  <r>
    <x v="4"/>
  </r>
  <r>
    <x v="4"/>
  </r>
  <r>
    <x v="4"/>
  </r>
  <r>
    <x v="2"/>
  </r>
  <r>
    <x v="2"/>
  </r>
  <r>
    <x v="4"/>
  </r>
  <r>
    <x v="4"/>
  </r>
  <r>
    <x v="2"/>
  </r>
  <r>
    <x v="2"/>
  </r>
  <r>
    <x v="2"/>
  </r>
  <r>
    <x v="2"/>
  </r>
  <r>
    <x v="4"/>
  </r>
  <r>
    <x v="4"/>
  </r>
  <r>
    <x v="2"/>
  </r>
  <r>
    <x v="4"/>
  </r>
  <r>
    <x v="2"/>
  </r>
  <r>
    <x v="2"/>
  </r>
  <r>
    <x v="2"/>
  </r>
  <r>
    <x v="2"/>
  </r>
  <r>
    <x v="2"/>
  </r>
  <r>
    <x v="2"/>
  </r>
  <r>
    <x v="2"/>
  </r>
  <r>
    <x v="2"/>
  </r>
  <r>
    <x v="2"/>
  </r>
  <r>
    <x v="2"/>
  </r>
  <r>
    <x v="2"/>
  </r>
  <r>
    <x v="2"/>
  </r>
  <r>
    <x v="2"/>
  </r>
  <r>
    <x v="2"/>
  </r>
  <r>
    <x v="2"/>
  </r>
  <r>
    <x v="2"/>
  </r>
  <r>
    <x v="2"/>
  </r>
  <r>
    <x v="2"/>
  </r>
  <r>
    <x v="2"/>
  </r>
  <r>
    <x v="2"/>
  </r>
  <r>
    <x v="4"/>
  </r>
  <r>
    <x v="2"/>
  </r>
  <r>
    <x v="2"/>
  </r>
  <r>
    <x v="2"/>
  </r>
  <r>
    <x v="4"/>
  </r>
  <r>
    <x v="5"/>
  </r>
  <r>
    <x v="5"/>
  </r>
  <r>
    <x v="6"/>
  </r>
  <r>
    <x v="2"/>
  </r>
  <r>
    <x v="3"/>
  </r>
  <r>
    <x v="2"/>
  </r>
  <r>
    <x v="2"/>
  </r>
  <r>
    <x v="3"/>
  </r>
  <r>
    <x v="3"/>
  </r>
  <r>
    <x v="7"/>
  </r>
  <r>
    <x v="2"/>
  </r>
  <r>
    <x v="2"/>
  </r>
  <r>
    <x v="2"/>
  </r>
  <r>
    <x v="2"/>
  </r>
  <r>
    <x v="8"/>
  </r>
  <r>
    <x v="0"/>
  </r>
  <r>
    <x v="5"/>
  </r>
  <r>
    <x v="9"/>
  </r>
  <r>
    <x v="10"/>
  </r>
  <r>
    <x v="11"/>
  </r>
  <r>
    <x v="3"/>
  </r>
  <r>
    <x v="12"/>
  </r>
  <r>
    <x v="12"/>
  </r>
  <r>
    <x v="12"/>
  </r>
  <r>
    <x v="4"/>
  </r>
  <r>
    <x v="5"/>
  </r>
  <r>
    <x v="3"/>
  </r>
  <r>
    <x v="2"/>
  </r>
  <r>
    <x v="13"/>
  </r>
  <r>
    <x v="0"/>
  </r>
  <r>
    <x v="14"/>
  </r>
  <r>
    <x v="15"/>
  </r>
  <r>
    <x v="2"/>
  </r>
  <r>
    <x v="2"/>
  </r>
  <r>
    <x v="2"/>
  </r>
  <r>
    <x v="3"/>
  </r>
  <r>
    <x v="16"/>
  </r>
  <r>
    <x v="4"/>
  </r>
  <r>
    <x v="3"/>
  </r>
  <r>
    <x v="2"/>
  </r>
  <r>
    <x v="2"/>
  </r>
  <r>
    <x v="2"/>
  </r>
  <r>
    <x v="15"/>
  </r>
  <r>
    <x v="17"/>
  </r>
  <r>
    <x v="2"/>
  </r>
  <r>
    <x v="4"/>
  </r>
  <r>
    <x v="4"/>
  </r>
  <r>
    <x v="2"/>
  </r>
  <r>
    <x v="3"/>
  </r>
  <r>
    <x v="17"/>
  </r>
  <r>
    <x v="3"/>
  </r>
  <r>
    <x v="4"/>
  </r>
  <r>
    <x v="2"/>
  </r>
  <r>
    <x v="2"/>
  </r>
  <r>
    <x v="2"/>
  </r>
  <r>
    <x v="2"/>
  </r>
  <r>
    <x v="2"/>
  </r>
  <r>
    <x v="15"/>
  </r>
  <r>
    <x v="2"/>
  </r>
  <r>
    <x v="2"/>
  </r>
  <r>
    <x v="2"/>
  </r>
  <r>
    <x v="2"/>
  </r>
  <r>
    <x v="2"/>
  </r>
  <r>
    <x v="2"/>
  </r>
  <r>
    <x v="2"/>
  </r>
  <r>
    <x v="2"/>
  </r>
  <r>
    <x v="2"/>
  </r>
  <r>
    <x v="2"/>
  </r>
  <r>
    <x v="2"/>
  </r>
  <r>
    <x v="2"/>
  </r>
  <r>
    <x v="2"/>
  </r>
  <r>
    <x v="2"/>
  </r>
  <r>
    <x v="2"/>
  </r>
  <r>
    <x v="2"/>
  </r>
  <r>
    <x v="16"/>
  </r>
  <r>
    <x v="2"/>
  </r>
  <r>
    <x v="2"/>
  </r>
  <r>
    <x v="2"/>
  </r>
  <r>
    <x v="2"/>
  </r>
  <r>
    <x v="2"/>
  </r>
  <r>
    <x v="16"/>
  </r>
  <r>
    <x v="2"/>
  </r>
  <r>
    <x v="3"/>
  </r>
  <r>
    <x v="4"/>
  </r>
  <r>
    <x v="4"/>
  </r>
  <r>
    <x v="3"/>
  </r>
  <r>
    <x v="2"/>
  </r>
  <r>
    <x v="2"/>
  </r>
  <r>
    <x v="2"/>
  </r>
  <r>
    <x v="2"/>
  </r>
  <r>
    <x v="2"/>
  </r>
  <r>
    <x v="2"/>
  </r>
  <r>
    <x v="2"/>
  </r>
  <r>
    <x v="2"/>
  </r>
  <r>
    <x v="2"/>
  </r>
  <r>
    <x v="2"/>
  </r>
  <r>
    <x v="4"/>
  </r>
  <r>
    <x v="4"/>
  </r>
  <r>
    <x v="2"/>
  </r>
  <r>
    <x v="4"/>
  </r>
  <r>
    <x v="4"/>
  </r>
  <r>
    <x v="4"/>
  </r>
  <r>
    <x v="18"/>
  </r>
  <r>
    <x v="18"/>
  </r>
  <r>
    <x v="18"/>
  </r>
  <r>
    <x v="18"/>
  </r>
  <r>
    <x v="18"/>
  </r>
  <r>
    <x v="18"/>
  </r>
  <r>
    <x v="18"/>
  </r>
  <r>
    <x v="18"/>
  </r>
  <r>
    <x v="18"/>
  </r>
  <r>
    <x v="18"/>
  </r>
  <r>
    <x v="18"/>
  </r>
  <r>
    <x v="18"/>
  </r>
  <r>
    <x v="18"/>
  </r>
  <r>
    <x v="18"/>
  </r>
  <r>
    <x v="4"/>
  </r>
  <r>
    <x v="4"/>
  </r>
  <r>
    <x v="4"/>
  </r>
  <r>
    <x v="4"/>
  </r>
  <r>
    <x v="3"/>
  </r>
  <r>
    <x v="4"/>
  </r>
  <r>
    <x v="4"/>
  </r>
  <r>
    <x v="4"/>
  </r>
  <r>
    <x v="4"/>
  </r>
  <r>
    <x v="4"/>
  </r>
  <r>
    <x v="3"/>
  </r>
  <r>
    <x v="2"/>
  </r>
  <r>
    <x v="2"/>
  </r>
  <r>
    <x v="2"/>
  </r>
  <r>
    <x v="0"/>
  </r>
  <r>
    <x v="0"/>
  </r>
  <r>
    <x v="2"/>
  </r>
  <r>
    <x v="2"/>
  </r>
  <r>
    <x v="2"/>
  </r>
  <r>
    <x v="2"/>
  </r>
  <r>
    <x v="2"/>
  </r>
  <r>
    <x v="2"/>
  </r>
  <r>
    <x v="2"/>
  </r>
  <r>
    <x v="2"/>
  </r>
  <r>
    <x v="2"/>
  </r>
  <r>
    <x v="2"/>
  </r>
  <r>
    <x v="2"/>
  </r>
  <r>
    <x v="2"/>
  </r>
  <r>
    <x v="2"/>
  </r>
  <r>
    <x v="11"/>
  </r>
  <r>
    <x v="8"/>
  </r>
  <r>
    <x v="5"/>
  </r>
  <r>
    <x v="2"/>
  </r>
  <r>
    <x v="2"/>
  </r>
  <r>
    <x v="2"/>
  </r>
  <r>
    <x v="2"/>
  </r>
  <r>
    <x v="2"/>
  </r>
  <r>
    <x v="19"/>
  </r>
  <r>
    <x v="3"/>
  </r>
  <r>
    <x v="4"/>
  </r>
  <r>
    <x v="20"/>
  </r>
  <r>
    <x v="20"/>
  </r>
  <r>
    <x v="20"/>
  </r>
  <r>
    <x v="4"/>
  </r>
  <r>
    <x v="4"/>
  </r>
  <r>
    <x v="21"/>
  </r>
  <r>
    <x v="4"/>
  </r>
  <r>
    <x v="1"/>
  </r>
  <r>
    <x v="4"/>
  </r>
  <r>
    <x v="1"/>
  </r>
  <r>
    <x v="4"/>
  </r>
  <r>
    <x v="22"/>
  </r>
  <r>
    <x v="23"/>
  </r>
  <r>
    <x v="4"/>
  </r>
  <r>
    <x v="3"/>
  </r>
  <r>
    <x v="0"/>
  </r>
  <r>
    <x v="0"/>
  </r>
  <r>
    <x v="4"/>
  </r>
  <r>
    <x v="0"/>
  </r>
  <r>
    <x v="4"/>
  </r>
  <r>
    <x v="4"/>
  </r>
  <r>
    <x v="4"/>
  </r>
  <r>
    <x v="8"/>
  </r>
  <r>
    <x v="1"/>
  </r>
  <r>
    <x v="17"/>
  </r>
  <r>
    <x v="4"/>
  </r>
  <r>
    <x v="4"/>
  </r>
  <r>
    <x v="2"/>
  </r>
  <r>
    <x v="2"/>
  </r>
  <r>
    <x v="24"/>
  </r>
  <r>
    <x v="4"/>
  </r>
  <r>
    <x v="4"/>
  </r>
  <r>
    <x v="4"/>
  </r>
</pivotCacheRecords>
</file>

<file path=xl/pivotCache/pivotCacheRecords10.xml><?xml version="1.0" encoding="utf-8"?>
<pivotCacheRecords xmlns="http://schemas.openxmlformats.org/spreadsheetml/2006/main" xmlns:r="http://schemas.openxmlformats.org/officeDocument/2006/relationships" count="255">
  <r>
    <x v="0"/>
    <x v="0"/>
  </r>
  <r>
    <x v="1"/>
    <x v="1"/>
  </r>
  <r>
    <x v="2"/>
    <x v="2"/>
  </r>
  <r>
    <x v="3"/>
    <x v="2"/>
  </r>
  <r>
    <x v="4"/>
    <x v="1"/>
  </r>
  <r>
    <x v="5"/>
    <x v="0"/>
  </r>
  <r>
    <x v="6"/>
    <x v="2"/>
  </r>
  <r>
    <x v="7"/>
    <x v="3"/>
  </r>
  <r>
    <x v="8"/>
    <x v="4"/>
  </r>
  <r>
    <x v="9"/>
    <x v="2"/>
  </r>
  <r>
    <x v="10"/>
    <x v="2"/>
  </r>
  <r>
    <x v="11"/>
    <x v="2"/>
  </r>
  <r>
    <x v="12"/>
    <x v="2"/>
  </r>
  <r>
    <x v="13"/>
    <x v="2"/>
  </r>
  <r>
    <x v="14"/>
    <x v="2"/>
  </r>
  <r>
    <x v="15"/>
    <x v="2"/>
  </r>
  <r>
    <x v="16"/>
    <x v="1"/>
  </r>
  <r>
    <x v="17"/>
    <x v="0"/>
  </r>
  <r>
    <x v="18"/>
    <x v="4"/>
  </r>
  <r>
    <x v="19"/>
    <x v="4"/>
  </r>
  <r>
    <x v="20"/>
    <x v="4"/>
  </r>
  <r>
    <x v="21"/>
    <x v="4"/>
  </r>
  <r>
    <x v="22"/>
    <x v="4"/>
  </r>
  <r>
    <x v="23"/>
    <x v="4"/>
  </r>
  <r>
    <x v="24"/>
    <x v="4"/>
  </r>
  <r>
    <x v="25"/>
    <x v="4"/>
  </r>
  <r>
    <x v="26"/>
    <x v="4"/>
  </r>
  <r>
    <x v="27"/>
    <x v="4"/>
  </r>
  <r>
    <x v="28"/>
    <x v="4"/>
  </r>
  <r>
    <x v="29"/>
    <x v="2"/>
  </r>
  <r>
    <x v="30"/>
    <x v="2"/>
  </r>
  <r>
    <x v="31"/>
    <x v="4"/>
  </r>
  <r>
    <x v="32"/>
    <x v="4"/>
  </r>
  <r>
    <x v="33"/>
    <x v="2"/>
  </r>
  <r>
    <x v="34"/>
    <x v="2"/>
  </r>
  <r>
    <x v="35"/>
    <x v="2"/>
  </r>
  <r>
    <x v="36"/>
    <x v="2"/>
  </r>
  <r>
    <x v="37"/>
    <x v="4"/>
  </r>
  <r>
    <x v="38"/>
    <x v="4"/>
  </r>
  <r>
    <x v="39"/>
    <x v="2"/>
  </r>
  <r>
    <x v="40"/>
    <x v="4"/>
  </r>
  <r>
    <x v="41"/>
    <x v="2"/>
  </r>
  <r>
    <x v="42"/>
    <x v="2"/>
  </r>
  <r>
    <x v="43"/>
    <x v="2"/>
  </r>
  <r>
    <x v="44"/>
    <x v="2"/>
  </r>
  <r>
    <x v="45"/>
    <x v="2"/>
  </r>
  <r>
    <x v="46"/>
    <x v="2"/>
  </r>
  <r>
    <x v="47"/>
    <x v="2"/>
  </r>
  <r>
    <x v="48"/>
    <x v="2"/>
  </r>
  <r>
    <x v="49"/>
    <x v="2"/>
  </r>
  <r>
    <x v="50"/>
    <x v="2"/>
  </r>
  <r>
    <x v="51"/>
    <x v="2"/>
  </r>
  <r>
    <x v="52"/>
    <x v="2"/>
  </r>
  <r>
    <x v="53"/>
    <x v="2"/>
  </r>
  <r>
    <x v="54"/>
    <x v="2"/>
  </r>
  <r>
    <x v="55"/>
    <x v="2"/>
  </r>
  <r>
    <x v="56"/>
    <x v="2"/>
  </r>
  <r>
    <x v="57"/>
    <x v="2"/>
  </r>
  <r>
    <x v="58"/>
    <x v="2"/>
  </r>
  <r>
    <x v="59"/>
    <x v="2"/>
  </r>
  <r>
    <x v="60"/>
    <x v="2"/>
  </r>
  <r>
    <x v="61"/>
    <x v="4"/>
  </r>
  <r>
    <x v="62"/>
    <x v="2"/>
  </r>
  <r>
    <x v="63"/>
    <x v="2"/>
  </r>
  <r>
    <x v="64"/>
    <x v="2"/>
  </r>
  <r>
    <x v="65"/>
    <x v="4"/>
  </r>
  <r>
    <x v="66"/>
    <x v="5"/>
  </r>
  <r>
    <x v="67"/>
    <x v="5"/>
  </r>
  <r>
    <x v="68"/>
    <x v="6"/>
  </r>
  <r>
    <x v="69"/>
    <x v="2"/>
  </r>
  <r>
    <x v="70"/>
    <x v="3"/>
  </r>
  <r>
    <x v="71"/>
    <x v="2"/>
  </r>
  <r>
    <x v="72"/>
    <x v="2"/>
  </r>
  <r>
    <x v="73"/>
    <x v="3"/>
  </r>
  <r>
    <x v="74"/>
    <x v="3"/>
  </r>
  <r>
    <x v="75"/>
    <x v="7"/>
  </r>
  <r>
    <x v="76"/>
    <x v="2"/>
  </r>
  <r>
    <x v="77"/>
    <x v="2"/>
  </r>
  <r>
    <x v="78"/>
    <x v="2"/>
  </r>
  <r>
    <x v="79"/>
    <x v="2"/>
  </r>
  <r>
    <x v="80"/>
    <x v="8"/>
  </r>
  <r>
    <x v="81"/>
    <x v="0"/>
  </r>
  <r>
    <x v="82"/>
    <x v="5"/>
  </r>
  <r>
    <x v="83"/>
    <x v="9"/>
  </r>
  <r>
    <x v="84"/>
    <x v="10"/>
  </r>
  <r>
    <x v="85"/>
    <x v="11"/>
  </r>
  <r>
    <x v="86"/>
    <x v="3"/>
  </r>
  <r>
    <x v="87"/>
    <x v="12"/>
  </r>
  <r>
    <x v="88"/>
    <x v="12"/>
  </r>
  <r>
    <x v="89"/>
    <x v="12"/>
  </r>
  <r>
    <x v="90"/>
    <x v="4"/>
  </r>
  <r>
    <x v="91"/>
    <x v="5"/>
  </r>
  <r>
    <x v="92"/>
    <x v="3"/>
  </r>
  <r>
    <x v="93"/>
    <x v="2"/>
  </r>
  <r>
    <x v="94"/>
    <x v="13"/>
  </r>
  <r>
    <x v="95"/>
    <x v="0"/>
  </r>
  <r>
    <x v="96"/>
    <x v="14"/>
  </r>
  <r>
    <x v="97"/>
    <x v="15"/>
  </r>
  <r>
    <x v="98"/>
    <x v="2"/>
  </r>
  <r>
    <x v="99"/>
    <x v="2"/>
  </r>
  <r>
    <x v="100"/>
    <x v="2"/>
  </r>
  <r>
    <x v="101"/>
    <x v="3"/>
  </r>
  <r>
    <x v="102"/>
    <x v="16"/>
  </r>
  <r>
    <x v="103"/>
    <x v="4"/>
  </r>
  <r>
    <x v="104"/>
    <x v="3"/>
  </r>
  <r>
    <x v="105"/>
    <x v="2"/>
  </r>
  <r>
    <x v="106"/>
    <x v="2"/>
  </r>
  <r>
    <x v="107"/>
    <x v="2"/>
  </r>
  <r>
    <x v="108"/>
    <x v="15"/>
  </r>
  <r>
    <x v="109"/>
    <x v="17"/>
  </r>
  <r>
    <x v="110"/>
    <x v="2"/>
  </r>
  <r>
    <x v="111"/>
    <x v="4"/>
  </r>
  <r>
    <x v="112"/>
    <x v="4"/>
  </r>
  <r>
    <x v="113"/>
    <x v="2"/>
  </r>
  <r>
    <x v="114"/>
    <x v="3"/>
  </r>
  <r>
    <x v="115"/>
    <x v="17"/>
  </r>
  <r>
    <x v="116"/>
    <x v="3"/>
  </r>
  <r>
    <x v="117"/>
    <x v="4"/>
  </r>
  <r>
    <x v="118"/>
    <x v="2"/>
  </r>
  <r>
    <x v="119"/>
    <x v="2"/>
  </r>
  <r>
    <x v="120"/>
    <x v="2"/>
  </r>
  <r>
    <x v="121"/>
    <x v="2"/>
  </r>
  <r>
    <x v="122"/>
    <x v="2"/>
  </r>
  <r>
    <x v="123"/>
    <x v="15"/>
  </r>
  <r>
    <x v="124"/>
    <x v="2"/>
  </r>
  <r>
    <x v="125"/>
    <x v="2"/>
  </r>
  <r>
    <x v="126"/>
    <x v="2"/>
  </r>
  <r>
    <x v="127"/>
    <x v="2"/>
  </r>
  <r>
    <x v="128"/>
    <x v="2"/>
  </r>
  <r>
    <x v="129"/>
    <x v="2"/>
  </r>
  <r>
    <x v="130"/>
    <x v="2"/>
  </r>
  <r>
    <x v="131"/>
    <x v="2"/>
  </r>
  <r>
    <x v="132"/>
    <x v="2"/>
  </r>
  <r>
    <x v="133"/>
    <x v="2"/>
  </r>
  <r>
    <x v="134"/>
    <x v="2"/>
  </r>
  <r>
    <x v="135"/>
    <x v="2"/>
  </r>
  <r>
    <x v="136"/>
    <x v="2"/>
  </r>
  <r>
    <x v="137"/>
    <x v="2"/>
  </r>
  <r>
    <x v="138"/>
    <x v="2"/>
  </r>
  <r>
    <x v="139"/>
    <x v="2"/>
  </r>
  <r>
    <x v="140"/>
    <x v="16"/>
  </r>
  <r>
    <x v="141"/>
    <x v="2"/>
  </r>
  <r>
    <x v="142"/>
    <x v="2"/>
  </r>
  <r>
    <x v="143"/>
    <x v="2"/>
  </r>
  <r>
    <x v="144"/>
    <x v="2"/>
  </r>
  <r>
    <x v="145"/>
    <x v="2"/>
  </r>
  <r>
    <x v="146"/>
    <x v="16"/>
  </r>
  <r>
    <x v="147"/>
    <x v="2"/>
  </r>
  <r>
    <x v="148"/>
    <x v="3"/>
  </r>
  <r>
    <x v="149"/>
    <x v="4"/>
  </r>
  <r>
    <x v="150"/>
    <x v="4"/>
  </r>
  <r>
    <x v="151"/>
    <x v="3"/>
  </r>
  <r>
    <x v="152"/>
    <x v="2"/>
  </r>
  <r>
    <x v="153"/>
    <x v="2"/>
  </r>
  <r>
    <x v="154"/>
    <x v="2"/>
  </r>
  <r>
    <x v="155"/>
    <x v="2"/>
  </r>
  <r>
    <x v="156"/>
    <x v="2"/>
  </r>
  <r>
    <x v="157"/>
    <x v="2"/>
  </r>
  <r>
    <x v="158"/>
    <x v="2"/>
  </r>
  <r>
    <x v="159"/>
    <x v="2"/>
  </r>
  <r>
    <x v="160"/>
    <x v="2"/>
  </r>
  <r>
    <x v="161"/>
    <x v="2"/>
  </r>
  <r>
    <x v="162"/>
    <x v="4"/>
  </r>
  <r>
    <x v="163"/>
    <x v="4"/>
  </r>
  <r>
    <x v="164"/>
    <x v="2"/>
  </r>
  <r>
    <x v="165"/>
    <x v="4"/>
  </r>
  <r>
    <x v="166"/>
    <x v="4"/>
  </r>
  <r>
    <x v="167"/>
    <x v="4"/>
  </r>
  <r>
    <x v="168"/>
    <x v="18"/>
  </r>
  <r>
    <x v="169"/>
    <x v="18"/>
  </r>
  <r>
    <x v="170"/>
    <x v="18"/>
  </r>
  <r>
    <x v="171"/>
    <x v="18"/>
  </r>
  <r>
    <x v="172"/>
    <x v="18"/>
  </r>
  <r>
    <x v="173"/>
    <x v="18"/>
  </r>
  <r>
    <x v="174"/>
    <x v="18"/>
  </r>
  <r>
    <x v="175"/>
    <x v="18"/>
  </r>
  <r>
    <x v="176"/>
    <x v="18"/>
  </r>
  <r>
    <x v="177"/>
    <x v="18"/>
  </r>
  <r>
    <x v="178"/>
    <x v="18"/>
  </r>
  <r>
    <x v="179"/>
    <x v="18"/>
  </r>
  <r>
    <x v="180"/>
    <x v="18"/>
  </r>
  <r>
    <x v="181"/>
    <x v="18"/>
  </r>
  <r>
    <x v="182"/>
    <x v="4"/>
  </r>
  <r>
    <x v="183"/>
    <x v="4"/>
  </r>
  <r>
    <x v="184"/>
    <x v="4"/>
  </r>
  <r>
    <x v="185"/>
    <x v="4"/>
  </r>
  <r>
    <x v="186"/>
    <x v="3"/>
  </r>
  <r>
    <x v="187"/>
    <x v="4"/>
  </r>
  <r>
    <x v="188"/>
    <x v="4"/>
  </r>
  <r>
    <x v="189"/>
    <x v="4"/>
  </r>
  <r>
    <x v="190"/>
    <x v="4"/>
  </r>
  <r>
    <x v="191"/>
    <x v="4"/>
  </r>
  <r>
    <x v="192"/>
    <x v="3"/>
  </r>
  <r>
    <x v="193"/>
    <x v="2"/>
  </r>
  <r>
    <x v="194"/>
    <x v="2"/>
  </r>
  <r>
    <x v="195"/>
    <x v="2"/>
  </r>
  <r>
    <x v="196"/>
    <x v="0"/>
  </r>
  <r>
    <x v="197"/>
    <x v="0"/>
  </r>
  <r>
    <x v="198"/>
    <x v="2"/>
  </r>
  <r>
    <x v="199"/>
    <x v="2"/>
  </r>
  <r>
    <x v="200"/>
    <x v="2"/>
  </r>
  <r>
    <x v="201"/>
    <x v="2"/>
  </r>
  <r>
    <x v="202"/>
    <x v="2"/>
  </r>
  <r>
    <x v="203"/>
    <x v="2"/>
  </r>
  <r>
    <x v="204"/>
    <x v="2"/>
  </r>
  <r>
    <x v="205"/>
    <x v="2"/>
  </r>
  <r>
    <x v="206"/>
    <x v="2"/>
  </r>
  <r>
    <x v="207"/>
    <x v="2"/>
  </r>
  <r>
    <x v="208"/>
    <x v="2"/>
  </r>
  <r>
    <x v="209"/>
    <x v="2"/>
  </r>
  <r>
    <x v="210"/>
    <x v="2"/>
  </r>
  <r>
    <x v="211"/>
    <x v="11"/>
  </r>
  <r>
    <x v="212"/>
    <x v="8"/>
  </r>
  <r>
    <x v="213"/>
    <x v="5"/>
  </r>
  <r>
    <x v="214"/>
    <x v="2"/>
  </r>
  <r>
    <x v="215"/>
    <x v="2"/>
  </r>
  <r>
    <x v="216"/>
    <x v="2"/>
  </r>
  <r>
    <x v="217"/>
    <x v="2"/>
  </r>
  <r>
    <x v="218"/>
    <x v="2"/>
  </r>
  <r>
    <x v="219"/>
    <x v="19"/>
  </r>
  <r>
    <x v="220"/>
    <x v="3"/>
  </r>
  <r>
    <x v="221"/>
    <x v="4"/>
  </r>
  <r>
    <x v="222"/>
    <x v="20"/>
  </r>
  <r>
    <x v="223"/>
    <x v="20"/>
  </r>
  <r>
    <x v="224"/>
    <x v="20"/>
  </r>
  <r>
    <x v="225"/>
    <x v="4"/>
  </r>
  <r>
    <x v="226"/>
    <x v="4"/>
  </r>
  <r>
    <x v="227"/>
    <x v="21"/>
  </r>
  <r>
    <x v="228"/>
    <x v="4"/>
  </r>
  <r>
    <x v="229"/>
    <x v="1"/>
  </r>
  <r>
    <x v="230"/>
    <x v="4"/>
  </r>
  <r>
    <x v="231"/>
    <x v="1"/>
  </r>
  <r>
    <x v="232"/>
    <x v="4"/>
  </r>
  <r>
    <x v="233"/>
    <x v="22"/>
  </r>
  <r>
    <x v="234"/>
    <x v="23"/>
  </r>
  <r>
    <x v="235"/>
    <x v="4"/>
  </r>
  <r>
    <x v="236"/>
    <x v="3"/>
  </r>
  <r>
    <x v="237"/>
    <x v="0"/>
  </r>
  <r>
    <x v="238"/>
    <x v="0"/>
  </r>
  <r>
    <x v="239"/>
    <x v="4"/>
  </r>
  <r>
    <x v="240"/>
    <x v="0"/>
  </r>
  <r>
    <x v="241"/>
    <x v="4"/>
  </r>
  <r>
    <x v="242"/>
    <x v="4"/>
  </r>
  <r>
    <x v="243"/>
    <x v="4"/>
  </r>
  <r>
    <x v="244"/>
    <x v="8"/>
  </r>
  <r>
    <x v="245"/>
    <x v="1"/>
  </r>
  <r>
    <x v="246"/>
    <x v="17"/>
  </r>
  <r>
    <x v="247"/>
    <x v="4"/>
  </r>
  <r>
    <x v="248"/>
    <x v="4"/>
  </r>
  <r>
    <x v="249"/>
    <x v="2"/>
  </r>
  <r>
    <x v="250"/>
    <x v="2"/>
  </r>
  <r>
    <x v="251"/>
    <x v="24"/>
  </r>
  <r>
    <x v="252"/>
    <x v="3"/>
  </r>
  <r>
    <x v="253"/>
    <x v="4"/>
  </r>
  <r>
    <x v="253"/>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Unique Logger Manufacturers" cacheId="4" dataOnRows="1" applyNumberFormats="0" applyBorderFormats="0" applyFontFormats="0" applyPatternFormats="0" applyAlignmentFormats="0" applyWidthHeightFormats="1" dataCaption="Data" updatedVersion="4" minRefreshableVersion="3" showMemberPropertyTips="0" useAutoFormatting="1" rowGrandTotals="0" colGrandTotals="0" itemPrintTitles="1" createdVersion="4" indent="0" compact="0" compactData="0" gridDropZones="1">
  <location ref="N1:O8" firstHeaderRow="2" firstDataRow="2" firstDataCol="1"/>
  <pivotFields count="1">
    <pivotField axis="axisRow" dataField="1" compact="0" outline="0" subtotalTop="0" showAll="0" includeNewItemsInFilter="1" sortType="ascending" defaultSubtotal="0">
      <items count="7">
        <item x="0"/>
        <item m="1" x="6"/>
        <item x="4"/>
        <item x="3"/>
        <item x="1"/>
        <item x="2"/>
        <item x="5"/>
      </items>
    </pivotField>
  </pivotFields>
  <rowFields count="1">
    <field x="0"/>
  </rowFields>
  <rowItems count="6">
    <i>
      <x/>
    </i>
    <i>
      <x v="2"/>
    </i>
    <i>
      <x v="3"/>
    </i>
    <i>
      <x v="4"/>
    </i>
    <i>
      <x v="5"/>
    </i>
    <i>
      <x v="6"/>
    </i>
  </rowItems>
  <colItems count="1">
    <i/>
  </colItems>
  <dataFields count="1">
    <dataField name="Count of LoggerManufacturer" fld="0" subtotal="count"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Q1:S11" firstHeaderRow="2" firstDataRow="2" firstDataCol="2"/>
  <pivotFields count="2">
    <pivotField axis="axisRow" compact="0" outline="0" subtotalTop="0" showAll="0" sortType="ascending" defaultSubtotal="0">
      <items count="7">
        <item x="0"/>
        <item m="1" x="6"/>
        <item x="4"/>
        <item x="3"/>
        <item x="1"/>
        <item x="2"/>
        <item x="5"/>
      </items>
      <extLst>
        <ext xmlns:x14="http://schemas.microsoft.com/office/spreadsheetml/2009/9/main" uri="{2946ED86-A175-432a-8AC1-64E0C546D7DE}">
          <x14:pivotField fillDownLabels="1"/>
        </ext>
      </extLst>
    </pivotField>
    <pivotField axis="axisRow" dataField="1" compact="0" outline="0" subtotalTop="0" showAll="0" sortType="ascending" defaultSubtotal="0">
      <items count="9">
        <item x="3"/>
        <item x="4"/>
        <item x="1"/>
        <item x="7"/>
        <item x="2"/>
        <item x="0"/>
        <item x="6"/>
        <item x="5"/>
        <item x="8"/>
      </items>
      <extLst>
        <ext xmlns:x14="http://schemas.microsoft.com/office/spreadsheetml/2009/9/main" uri="{2946ED86-A175-432a-8AC1-64E0C546D7DE}">
          <x14:pivotField fillDownLabels="1"/>
        </ext>
      </extLst>
    </pivotField>
  </pivotFields>
  <rowFields count="2">
    <field x="0"/>
    <field x="1"/>
  </rowFields>
  <rowItems count="9">
    <i>
      <x/>
      <x v="5"/>
    </i>
    <i>
      <x v="2"/>
      <x v="3"/>
    </i>
    <i>
      <x v="3"/>
      <x v="6"/>
    </i>
    <i>
      <x v="4"/>
      <x v="2"/>
    </i>
    <i r="1">
      <x v="4"/>
    </i>
    <i>
      <x v="5"/>
      <x/>
    </i>
    <i r="1">
      <x v="1"/>
    </i>
    <i r="1">
      <x v="7"/>
    </i>
    <i>
      <x v="6"/>
      <x v="8"/>
    </i>
  </rowItems>
  <colItems count="1">
    <i/>
  </colItems>
  <dataFields count="1">
    <dataField name="Count of LoggerMode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Logger Pivot" cacheId="6" applyNumberFormats="0" applyBorderFormats="0" applyFontFormats="0" applyPatternFormats="0" applyAlignmentFormats="0" applyWidthHeightFormats="1" dataCaption="Data" showMissing="0" updatedVersion="4" minRefreshableVersion="3" showMemberPropertyTips="0" useAutoFormatting="1" rowGrandTotals="0" colGrandTotals="0" itemPrintTitles="1" createdVersion="4" indent="0" compact="0" compactData="0" gridDropZones="1">
  <location ref="U1:X20" firstHeaderRow="2" firstDataRow="2" firstDataCol="3"/>
  <pivotFields count="6">
    <pivotField compact="0" outline="0" subtotalTop="0" showAll="0" includeNewItemsInFilter="1"/>
    <pivotField compact="0" outline="0" subtotalTop="0" showAll="0" includeNewItemsInFilter="1"/>
    <pivotField axis="axisRow" compact="0" outline="0" subtotalTop="0" showAll="0" includeNewItemsInFilter="1" sortType="ascending" defaultSubtotal="0">
      <items count="7">
        <item x="0"/>
        <item m="1" x="6"/>
        <item x="4"/>
        <item x="3"/>
        <item x="1"/>
        <item x="2"/>
        <item x="5"/>
      </items>
      <extLst>
        <ext xmlns:x14="http://schemas.microsoft.com/office/spreadsheetml/2009/9/main" uri="{2946ED86-A175-432a-8AC1-64E0C546D7DE}">
          <x14:pivotField fillDownLabels="1"/>
        </ext>
      </extLst>
    </pivotField>
    <pivotField axis="axisRow" compact="0" outline="0" subtotalTop="0" showAll="0" includeNewItemsInFilter="1" sortType="ascending" defaultSubtotal="0">
      <items count="9">
        <item x="3"/>
        <item x="4"/>
        <item x="1"/>
        <item x="7"/>
        <item x="2"/>
        <item x="0"/>
        <item x="6"/>
        <item x="5"/>
        <item x="8"/>
      </items>
      <extLst>
        <ext xmlns:x14="http://schemas.microsoft.com/office/spreadsheetml/2009/9/main" uri="{2946ED86-A175-432a-8AC1-64E0C546D7DE}">
          <x14:pivotField fillDownLabels="1"/>
        </ext>
      </extLst>
    </pivotField>
    <pivotField axis="axisRow" dataField="1" compact="0" outline="0" subtotalTop="0" showAll="0" includeNewItemsInFilter="1" sortType="ascending" defaultSubtotal="0">
      <items count="18">
        <item x="0"/>
        <item x="1"/>
        <item x="2"/>
        <item x="7"/>
        <item x="11"/>
        <item x="10"/>
        <item x="12"/>
        <item x="13"/>
        <item x="16"/>
        <item x="14"/>
        <item x="15"/>
        <item x="3"/>
        <item x="4"/>
        <item x="5"/>
        <item x="6"/>
        <item x="8"/>
        <item x="9"/>
        <item x="17"/>
      </items>
    </pivotField>
    <pivotField compact="0" outline="0" subtotalTop="0" showAll="0" includeNewItemsInFilter="1"/>
  </pivotFields>
  <rowFields count="3">
    <field x="2"/>
    <field x="3"/>
    <field x="4"/>
  </rowFields>
  <rowItems count="18">
    <i>
      <x/>
      <x v="5"/>
      <x/>
    </i>
    <i r="2">
      <x v="1"/>
    </i>
    <i r="2">
      <x v="2"/>
    </i>
    <i>
      <x v="2"/>
      <x v="3"/>
      <x v="8"/>
    </i>
    <i>
      <x v="3"/>
      <x v="6"/>
      <x v="9"/>
    </i>
    <i r="2">
      <x v="10"/>
    </i>
    <i>
      <x v="4"/>
      <x v="2"/>
      <x v="11"/>
    </i>
    <i r="1">
      <x v="4"/>
      <x v="12"/>
    </i>
    <i r="2">
      <x v="13"/>
    </i>
    <i r="2">
      <x v="14"/>
    </i>
    <i>
      <x v="5"/>
      <x/>
      <x v="3"/>
    </i>
    <i r="1">
      <x v="1"/>
      <x v="15"/>
    </i>
    <i r="2">
      <x v="16"/>
    </i>
    <i r="1">
      <x v="7"/>
      <x v="4"/>
    </i>
    <i r="2">
      <x v="5"/>
    </i>
    <i r="2">
      <x v="6"/>
    </i>
    <i r="2">
      <x v="7"/>
    </i>
    <i>
      <x v="6"/>
      <x v="8"/>
      <x v="17"/>
    </i>
  </rowItems>
  <colItems count="1">
    <i/>
  </colItems>
  <dataFields count="1">
    <dataField name="Count of LoggerSerialNumber" fld="4" subtotal="count" baseField="4" baseItem="13"/>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T1:W13" firstHeaderRow="2" firstDataRow="2" firstDataCol="3"/>
  <pivotFields count="3">
    <pivotField axis="axisRow" compact="0" outline="0" subtotalTop="0" showAll="0" sortType="ascending" defaultSubtotal="0">
      <items count="4">
        <item x="2"/>
        <item x="1"/>
        <item x="0"/>
        <item x="3"/>
      </items>
      <extLst>
        <ext xmlns:x14="http://schemas.microsoft.com/office/spreadsheetml/2009/9/main" uri="{2946ED86-A175-432a-8AC1-64E0C546D7DE}">
          <x14:pivotField fillDownLabels="1"/>
        </ext>
      </extLst>
    </pivotField>
    <pivotField axis="axisRow" compact="0" outline="0" subtotalTop="0" showAll="0" sortType="ascending" defaultSubtotal="0">
      <items count="8">
        <item x="0"/>
        <item m="1" x="7"/>
        <item x="5"/>
        <item x="4"/>
        <item x="1"/>
        <item x="2"/>
        <item x="3"/>
        <item x="6"/>
      </items>
      <extLst>
        <ext xmlns:x14="http://schemas.microsoft.com/office/spreadsheetml/2009/9/main" uri="{2946ED86-A175-432a-8AC1-64E0C546D7DE}">
          <x14:pivotField fillDownLabels="1"/>
        </ext>
      </extLst>
    </pivotField>
    <pivotField axis="axisRow" dataField="1" compact="0" outline="0" subtotalTop="0" showAll="0" sortType="ascending" defaultSubtotal="0">
      <items count="11">
        <item x="3"/>
        <item x="4"/>
        <item x="1"/>
        <item x="9"/>
        <item x="2"/>
        <item x="0"/>
        <item x="7"/>
        <item x="6"/>
        <item x="5"/>
        <item x="8"/>
        <item x="10"/>
      </items>
      <extLst>
        <ext xmlns:x14="http://schemas.microsoft.com/office/spreadsheetml/2009/9/main" uri="{2946ED86-A175-432a-8AC1-64E0C546D7DE}">
          <x14:pivotField fillDownLabels="1"/>
        </ext>
      </extLst>
    </pivotField>
  </pivotFields>
  <rowFields count="3">
    <field x="0"/>
    <field x="1"/>
    <field x="2"/>
  </rowFields>
  <rowItems count="11">
    <i>
      <x/>
      <x v="2"/>
      <x v="3"/>
    </i>
    <i>
      <x v="1"/>
      <x v="5"/>
      <x/>
    </i>
    <i>
      <x v="2"/>
      <x/>
      <x v="5"/>
    </i>
    <i r="1">
      <x v="3"/>
      <x v="9"/>
    </i>
    <i r="1">
      <x v="4"/>
      <x v="2"/>
    </i>
    <i r="2">
      <x v="4"/>
    </i>
    <i r="1">
      <x v="6"/>
      <x v="1"/>
    </i>
    <i r="2">
      <x v="6"/>
    </i>
    <i r="2">
      <x v="7"/>
    </i>
    <i r="2">
      <x v="8"/>
    </i>
    <i>
      <x v="3"/>
      <x v="7"/>
      <x v="10"/>
    </i>
  </rowItems>
  <colItems count="1">
    <i/>
  </colItems>
  <dataFields count="1">
    <dataField name="Count of Sensor Model"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P1:R9" firstHeaderRow="2" firstDataRow="2" firstDataCol="2"/>
  <pivotFields count="2">
    <pivotField axis="axisRow" compact="0" outline="0" subtotalTop="0" showAll="0" sortType="ascending" defaultSubtotal="0">
      <items count="4">
        <item x="2"/>
        <item x="1"/>
        <item x="0"/>
        <item x="3"/>
      </items>
      <extLst>
        <ext xmlns:x14="http://schemas.microsoft.com/office/spreadsheetml/2009/9/main" uri="{2946ED86-A175-432a-8AC1-64E0C546D7DE}">
          <x14:pivotField fillDownLabels="1"/>
        </ext>
      </extLst>
    </pivotField>
    <pivotField axis="axisRow" dataField="1" compact="0" outline="0" subtotalTop="0" showAll="0" sortType="ascending" defaultSubtotal="0">
      <items count="8">
        <item x="0"/>
        <item m="1" x="7"/>
        <item x="5"/>
        <item x="4"/>
        <item x="1"/>
        <item x="2"/>
        <item x="3"/>
        <item x="6"/>
      </items>
      <extLst>
        <ext xmlns:x14="http://schemas.microsoft.com/office/spreadsheetml/2009/9/main" uri="{2946ED86-A175-432a-8AC1-64E0C546D7DE}">
          <x14:pivotField fillDownLabels="1"/>
        </ext>
      </extLst>
    </pivotField>
  </pivotFields>
  <rowFields count="2">
    <field x="0"/>
    <field x="1"/>
  </rowFields>
  <rowItems count="7">
    <i>
      <x/>
      <x v="2"/>
    </i>
    <i>
      <x v="1"/>
      <x v="5"/>
    </i>
    <i>
      <x v="2"/>
      <x/>
    </i>
    <i r="1">
      <x v="3"/>
    </i>
    <i r="1">
      <x v="4"/>
    </i>
    <i r="1">
      <x v="6"/>
    </i>
    <i>
      <x v="3"/>
      <x v="7"/>
    </i>
  </rowItems>
  <colItems count="1">
    <i/>
  </colItems>
  <dataFields count="1">
    <dataField name="Count of Sensor Manufacturer"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Sensor Types"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M1:N6" firstHeaderRow="2" firstDataRow="2" firstDataCol="1"/>
  <pivotFields count="1">
    <pivotField axis="axisRow" dataField="1" compact="0" outline="0" subtotalTop="0" showAll="0" sortType="ascending">
      <items count="5">
        <item x="2"/>
        <item x="1"/>
        <item x="0"/>
        <item x="3"/>
        <item t="default"/>
      </items>
      <extLst>
        <ext xmlns:x14="http://schemas.microsoft.com/office/spreadsheetml/2009/9/main" uri="{2946ED86-A175-432a-8AC1-64E0C546D7DE}">
          <x14:pivotField fillDownLabels="1"/>
        </ext>
      </extLst>
    </pivotField>
  </pivotFields>
  <rowFields count="1">
    <field x="0"/>
  </rowFields>
  <rowItems count="4">
    <i>
      <x/>
    </i>
    <i>
      <x v="1"/>
    </i>
    <i>
      <x v="2"/>
    </i>
    <i>
      <x v="3"/>
    </i>
  </rowItems>
  <colItems count="1">
    <i/>
  </colItems>
  <dataFields count="1">
    <dataField name="Count of Sensor Typ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Y1:AC20" firstHeaderRow="2" firstDataRow="2" firstDataCol="4"/>
  <pivotFields count="4">
    <pivotField axis="axisRow" compact="0" outline="0" subtotalTop="0" showAll="0" sortType="ascending" defaultSubtotal="0">
      <items count="4">
        <item x="2"/>
        <item x="1"/>
        <item x="0"/>
        <item x="3"/>
      </items>
      <extLst>
        <ext xmlns:x14="http://schemas.microsoft.com/office/spreadsheetml/2009/9/main" uri="{2946ED86-A175-432a-8AC1-64E0C546D7DE}">
          <x14:pivotField fillDownLabels="1"/>
        </ext>
      </extLst>
    </pivotField>
    <pivotField axis="axisRow" compact="0" outline="0" subtotalTop="0" showAll="0" sortType="ascending" defaultSubtotal="0">
      <items count="8">
        <item x="0"/>
        <item m="1" x="7"/>
        <item x="5"/>
        <item x="4"/>
        <item x="1"/>
        <item x="2"/>
        <item x="3"/>
        <item x="6"/>
      </items>
      <extLst>
        <ext xmlns:x14="http://schemas.microsoft.com/office/spreadsheetml/2009/9/main" uri="{2946ED86-A175-432a-8AC1-64E0C546D7DE}">
          <x14:pivotField fillDownLabels="1"/>
        </ext>
      </extLst>
    </pivotField>
    <pivotField axis="axisRow" compact="0" outline="0" subtotalTop="0" showAll="0" sortType="ascending" defaultSubtotal="0">
      <items count="11">
        <item x="3"/>
        <item x="4"/>
        <item x="1"/>
        <item x="9"/>
        <item x="2"/>
        <item x="0"/>
        <item x="7"/>
        <item x="6"/>
        <item x="5"/>
        <item x="8"/>
        <item x="10"/>
      </items>
      <extLst>
        <ext xmlns:x14="http://schemas.microsoft.com/office/spreadsheetml/2009/9/main" uri="{2946ED86-A175-432a-8AC1-64E0C546D7DE}">
          <x14:pivotField fillDownLabels="1"/>
        </ext>
      </extLst>
    </pivotField>
    <pivotField axis="axisRow" dataField="1" compact="0" outline="0" subtotalTop="0" showAll="0" sortType="ascending" defaultSubtotal="0">
      <items count="21">
        <item x="0"/>
        <item x="1"/>
        <item x="2"/>
        <item m="1" x="20"/>
        <item m="1" x="18"/>
        <item m="1" x="17"/>
        <item m="1" x="19"/>
        <item x="15"/>
        <item x="13"/>
        <item x="14"/>
        <item x="3"/>
        <item x="4"/>
        <item x="5"/>
        <item x="6"/>
        <item x="9"/>
        <item x="10"/>
        <item x="11"/>
        <item x="12"/>
        <item x="7"/>
        <item x="8"/>
        <item x="16"/>
      </items>
      <extLst>
        <ext xmlns:x14="http://schemas.microsoft.com/office/spreadsheetml/2009/9/main" uri="{2946ED86-A175-432a-8AC1-64E0C546D7DE}">
          <x14:pivotField fillDownLabels="1"/>
        </ext>
      </extLst>
    </pivotField>
  </pivotFields>
  <rowFields count="4">
    <field x="0"/>
    <field x="1"/>
    <field x="2"/>
    <field x="3"/>
  </rowFields>
  <rowItems count="18">
    <i>
      <x/>
      <x v="2"/>
      <x v="3"/>
      <x v="7"/>
    </i>
    <i>
      <x v="1"/>
      <x v="5"/>
      <x/>
      <x v="18"/>
    </i>
    <i>
      <x v="2"/>
      <x/>
      <x v="5"/>
      <x/>
    </i>
    <i r="3">
      <x v="1"/>
    </i>
    <i r="3">
      <x v="2"/>
    </i>
    <i r="1">
      <x v="3"/>
      <x v="9"/>
      <x v="8"/>
    </i>
    <i r="3">
      <x v="9"/>
    </i>
    <i r="1">
      <x v="4"/>
      <x v="2"/>
      <x v="10"/>
    </i>
    <i r="2">
      <x v="4"/>
      <x v="11"/>
    </i>
    <i r="3">
      <x v="12"/>
    </i>
    <i r="3">
      <x v="13"/>
    </i>
    <i r="1">
      <x v="6"/>
      <x v="1"/>
      <x v="19"/>
    </i>
    <i r="2">
      <x v="6"/>
      <x v="14"/>
    </i>
    <i r="2">
      <x v="7"/>
      <x v="15"/>
    </i>
    <i r="3">
      <x v="16"/>
    </i>
    <i r="3">
      <x v="17"/>
    </i>
    <i r="2">
      <x v="8"/>
      <x v="14"/>
    </i>
    <i>
      <x v="3"/>
      <x v="7"/>
      <x v="10"/>
      <x v="20"/>
    </i>
  </rowItems>
  <colItems count="1">
    <i/>
  </colItems>
  <dataFields count="1">
    <dataField name="Count of SensorSN"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9" cacheId="9"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K1:M256" firstHeaderRow="2" firstDataRow="2" firstDataCol="2"/>
  <pivotFields count="2">
    <pivotField axis="axisRow" compact="0" outline="0" subtotalTop="0" showAll="0" sortType="ascending" defaultSubtotal="0">
      <items count="2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251"/>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252"/>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3"/>
      </items>
    </pivotField>
    <pivotField axis="axisRow" dataField="1" compact="0" outline="0" subtotalTop="0" showAll="0" sortType="ascending" defaultSubtotal="0">
      <items count="26">
        <item x="17"/>
        <item x="6"/>
        <item x="2"/>
        <item x="7"/>
        <item x="3"/>
        <item x="24"/>
        <item x="11"/>
        <item x="9"/>
        <item x="15"/>
        <item x="8"/>
        <item x="16"/>
        <item x="0"/>
        <item x="18"/>
        <item x="14"/>
        <item x="5"/>
        <item x="22"/>
        <item x="10"/>
        <item x="1"/>
        <item x="12"/>
        <item m="1" x="25"/>
        <item x="20"/>
        <item x="19"/>
        <item x="21"/>
        <item x="13"/>
        <item x="23"/>
        <item x="4"/>
      </items>
      <extLst>
        <ext xmlns:x14="http://schemas.microsoft.com/office/spreadsheetml/2009/9/main" uri="{2946ED86-A175-432a-8AC1-64E0C546D7DE}">
          <x14:pivotField fillDownLabels="1"/>
        </ext>
      </extLst>
    </pivotField>
  </pivotFields>
  <rowFields count="2">
    <field x="1"/>
    <field x="0"/>
  </rowFields>
  <rowItems count="254">
    <i>
      <x/>
      <x v="110"/>
    </i>
    <i r="1">
      <x v="116"/>
    </i>
    <i r="1">
      <x v="248"/>
    </i>
    <i>
      <x v="1"/>
      <x v="68"/>
    </i>
    <i>
      <x v="2"/>
      <x v="2"/>
    </i>
    <i r="1">
      <x v="3"/>
    </i>
    <i r="1">
      <x v="6"/>
    </i>
    <i r="1">
      <x v="9"/>
    </i>
    <i r="1">
      <x v="10"/>
    </i>
    <i r="1">
      <x v="11"/>
    </i>
    <i r="1">
      <x v="12"/>
    </i>
    <i r="1">
      <x v="13"/>
    </i>
    <i r="1">
      <x v="14"/>
    </i>
    <i r="1">
      <x v="15"/>
    </i>
    <i r="1">
      <x v="29"/>
    </i>
    <i r="1">
      <x v="30"/>
    </i>
    <i r="1">
      <x v="33"/>
    </i>
    <i r="1">
      <x v="34"/>
    </i>
    <i r="1">
      <x v="35"/>
    </i>
    <i r="1">
      <x v="36"/>
    </i>
    <i r="1">
      <x v="39"/>
    </i>
    <i r="1">
      <x v="41"/>
    </i>
    <i r="1">
      <x v="42"/>
    </i>
    <i r="1">
      <x v="43"/>
    </i>
    <i r="1">
      <x v="44"/>
    </i>
    <i r="1">
      <x v="45"/>
    </i>
    <i r="1">
      <x v="46"/>
    </i>
    <i r="1">
      <x v="47"/>
    </i>
    <i r="1">
      <x v="48"/>
    </i>
    <i r="1">
      <x v="49"/>
    </i>
    <i r="1">
      <x v="50"/>
    </i>
    <i r="1">
      <x v="51"/>
    </i>
    <i r="1">
      <x v="52"/>
    </i>
    <i r="1">
      <x v="53"/>
    </i>
    <i r="1">
      <x v="54"/>
    </i>
    <i r="1">
      <x v="55"/>
    </i>
    <i r="1">
      <x v="56"/>
    </i>
    <i r="1">
      <x v="57"/>
    </i>
    <i r="1">
      <x v="58"/>
    </i>
    <i r="1">
      <x v="59"/>
    </i>
    <i r="1">
      <x v="60"/>
    </i>
    <i r="1">
      <x v="62"/>
    </i>
    <i r="1">
      <x v="63"/>
    </i>
    <i r="1">
      <x v="64"/>
    </i>
    <i r="1">
      <x v="69"/>
    </i>
    <i r="1">
      <x v="71"/>
    </i>
    <i r="1">
      <x v="72"/>
    </i>
    <i r="1">
      <x v="76"/>
    </i>
    <i r="1">
      <x v="77"/>
    </i>
    <i r="1">
      <x v="78"/>
    </i>
    <i r="1">
      <x v="79"/>
    </i>
    <i r="1">
      <x v="94"/>
    </i>
    <i r="1">
      <x v="99"/>
    </i>
    <i r="1">
      <x v="100"/>
    </i>
    <i r="1">
      <x v="101"/>
    </i>
    <i r="1">
      <x v="106"/>
    </i>
    <i r="1">
      <x v="107"/>
    </i>
    <i r="1">
      <x v="108"/>
    </i>
    <i r="1">
      <x v="111"/>
    </i>
    <i r="1">
      <x v="114"/>
    </i>
    <i r="1">
      <x v="119"/>
    </i>
    <i r="1">
      <x v="120"/>
    </i>
    <i r="1">
      <x v="121"/>
    </i>
    <i r="1">
      <x v="122"/>
    </i>
    <i r="1">
      <x v="123"/>
    </i>
    <i r="1">
      <x v="125"/>
    </i>
    <i r="1">
      <x v="126"/>
    </i>
    <i r="1">
      <x v="127"/>
    </i>
    <i r="1">
      <x v="128"/>
    </i>
    <i r="1">
      <x v="129"/>
    </i>
    <i r="1">
      <x v="130"/>
    </i>
    <i r="1">
      <x v="131"/>
    </i>
    <i r="1">
      <x v="132"/>
    </i>
    <i r="1">
      <x v="133"/>
    </i>
    <i r="1">
      <x v="134"/>
    </i>
    <i r="1">
      <x v="135"/>
    </i>
    <i r="1">
      <x v="136"/>
    </i>
    <i r="1">
      <x v="137"/>
    </i>
    <i r="1">
      <x v="138"/>
    </i>
    <i r="1">
      <x v="139"/>
    </i>
    <i r="1">
      <x v="140"/>
    </i>
    <i r="1">
      <x v="142"/>
    </i>
    <i r="1">
      <x v="143"/>
    </i>
    <i r="1">
      <x v="144"/>
    </i>
    <i r="1">
      <x v="145"/>
    </i>
    <i r="1">
      <x v="146"/>
    </i>
    <i r="1">
      <x v="148"/>
    </i>
    <i r="1">
      <x v="153"/>
    </i>
    <i r="1">
      <x v="154"/>
    </i>
    <i r="1">
      <x v="155"/>
    </i>
    <i r="1">
      <x v="156"/>
    </i>
    <i r="1">
      <x v="157"/>
    </i>
    <i r="1">
      <x v="158"/>
    </i>
    <i r="1">
      <x v="159"/>
    </i>
    <i r="1">
      <x v="160"/>
    </i>
    <i r="1">
      <x v="161"/>
    </i>
    <i r="1">
      <x v="162"/>
    </i>
    <i r="1">
      <x v="165"/>
    </i>
    <i r="1">
      <x v="195"/>
    </i>
    <i r="1">
      <x v="196"/>
    </i>
    <i r="1">
      <x v="197"/>
    </i>
    <i r="1">
      <x v="200"/>
    </i>
    <i r="1">
      <x v="201"/>
    </i>
    <i r="1">
      <x v="202"/>
    </i>
    <i r="1">
      <x v="203"/>
    </i>
    <i r="1">
      <x v="204"/>
    </i>
    <i r="1">
      <x v="205"/>
    </i>
    <i r="1">
      <x v="206"/>
    </i>
    <i r="1">
      <x v="207"/>
    </i>
    <i r="1">
      <x v="208"/>
    </i>
    <i r="1">
      <x v="209"/>
    </i>
    <i r="1">
      <x v="210"/>
    </i>
    <i r="1">
      <x v="211"/>
    </i>
    <i r="1">
      <x v="212"/>
    </i>
    <i r="1">
      <x v="216"/>
    </i>
    <i r="1">
      <x v="217"/>
    </i>
    <i r="1">
      <x v="218"/>
    </i>
    <i r="1">
      <x v="219"/>
    </i>
    <i r="1">
      <x v="220"/>
    </i>
    <i r="1">
      <x v="251"/>
    </i>
    <i r="1">
      <x v="252"/>
    </i>
    <i>
      <x v="3"/>
      <x v="75"/>
    </i>
    <i>
      <x v="4"/>
      <x v="7"/>
    </i>
    <i r="1">
      <x v="70"/>
    </i>
    <i r="1">
      <x v="73"/>
    </i>
    <i r="1">
      <x v="74"/>
    </i>
    <i r="1">
      <x v="87"/>
    </i>
    <i r="1">
      <x v="93"/>
    </i>
    <i r="1">
      <x v="102"/>
    </i>
    <i r="1">
      <x v="105"/>
    </i>
    <i r="1">
      <x v="115"/>
    </i>
    <i r="1">
      <x v="117"/>
    </i>
    <i r="1">
      <x v="149"/>
    </i>
    <i r="1">
      <x v="152"/>
    </i>
    <i r="1">
      <x v="183"/>
    </i>
    <i r="1">
      <x v="188"/>
    </i>
    <i r="1">
      <x v="194"/>
    </i>
    <i r="1">
      <x v="222"/>
    </i>
    <i r="1">
      <x v="238"/>
    </i>
    <i>
      <x v="5"/>
      <x v="85"/>
    </i>
    <i>
      <x v="6"/>
      <x v="86"/>
    </i>
    <i r="1">
      <x v="213"/>
    </i>
    <i>
      <x v="7"/>
      <x v="83"/>
    </i>
    <i>
      <x v="8"/>
      <x v="98"/>
    </i>
    <i r="1">
      <x v="109"/>
    </i>
    <i r="1">
      <x v="124"/>
    </i>
    <i>
      <x v="9"/>
      <x v="80"/>
    </i>
    <i r="1">
      <x v="214"/>
    </i>
    <i r="1">
      <x v="246"/>
    </i>
    <i>
      <x v="10"/>
      <x v="103"/>
    </i>
    <i r="1">
      <x v="141"/>
    </i>
    <i r="1">
      <x v="147"/>
    </i>
    <i>
      <x v="11"/>
      <x/>
    </i>
    <i r="1">
      <x v="5"/>
    </i>
    <i r="1">
      <x v="17"/>
    </i>
    <i r="1">
      <x v="81"/>
    </i>
    <i r="1">
      <x v="96"/>
    </i>
    <i r="1">
      <x v="198"/>
    </i>
    <i r="1">
      <x v="199"/>
    </i>
    <i r="1">
      <x v="239"/>
    </i>
    <i r="1">
      <x v="240"/>
    </i>
    <i r="1">
      <x v="242"/>
    </i>
    <i>
      <x v="12"/>
      <x v="169"/>
    </i>
    <i r="1">
      <x v="170"/>
    </i>
    <i r="1">
      <x v="171"/>
    </i>
    <i r="1">
      <x v="172"/>
    </i>
    <i r="1">
      <x v="173"/>
    </i>
    <i r="1">
      <x v="174"/>
    </i>
    <i r="1">
      <x v="175"/>
    </i>
    <i r="1">
      <x v="176"/>
    </i>
    <i r="1">
      <x v="177"/>
    </i>
    <i r="1">
      <x v="178"/>
    </i>
    <i r="1">
      <x v="179"/>
    </i>
    <i r="1">
      <x v="180"/>
    </i>
    <i r="1">
      <x v="181"/>
    </i>
    <i r="1">
      <x v="182"/>
    </i>
    <i>
      <x v="13"/>
      <x v="97"/>
    </i>
    <i>
      <x v="14"/>
      <x v="66"/>
    </i>
    <i r="1">
      <x v="67"/>
    </i>
    <i r="1">
      <x v="82"/>
    </i>
    <i r="1">
      <x v="92"/>
    </i>
    <i r="1">
      <x v="215"/>
    </i>
    <i>
      <x v="15"/>
      <x v="235"/>
    </i>
    <i>
      <x v="16"/>
      <x v="84"/>
    </i>
    <i>
      <x v="17"/>
      <x v="1"/>
    </i>
    <i r="1">
      <x v="4"/>
    </i>
    <i r="1">
      <x v="16"/>
    </i>
    <i r="1">
      <x v="231"/>
    </i>
    <i r="1">
      <x v="233"/>
    </i>
    <i r="1">
      <x v="247"/>
    </i>
    <i>
      <x v="18"/>
      <x v="88"/>
    </i>
    <i r="1">
      <x v="89"/>
    </i>
    <i r="1">
      <x v="90"/>
    </i>
    <i>
      <x v="20"/>
      <x v="224"/>
    </i>
    <i r="1">
      <x v="225"/>
    </i>
    <i r="1">
      <x v="226"/>
    </i>
    <i>
      <x v="21"/>
      <x v="221"/>
    </i>
    <i>
      <x v="22"/>
      <x v="229"/>
    </i>
    <i>
      <x v="23"/>
      <x v="95"/>
    </i>
    <i>
      <x v="24"/>
      <x v="236"/>
    </i>
    <i>
      <x v="25"/>
      <x v="8"/>
    </i>
    <i r="1">
      <x v="18"/>
    </i>
    <i r="1">
      <x v="19"/>
    </i>
    <i r="1">
      <x v="20"/>
    </i>
    <i r="1">
      <x v="21"/>
    </i>
    <i r="1">
      <x v="22"/>
    </i>
    <i r="1">
      <x v="23"/>
    </i>
    <i r="1">
      <x v="24"/>
    </i>
    <i r="1">
      <x v="25"/>
    </i>
    <i r="1">
      <x v="26"/>
    </i>
    <i r="1">
      <x v="27"/>
    </i>
    <i r="1">
      <x v="28"/>
    </i>
    <i r="1">
      <x v="31"/>
    </i>
    <i r="1">
      <x v="32"/>
    </i>
    <i r="1">
      <x v="37"/>
    </i>
    <i r="1">
      <x v="38"/>
    </i>
    <i r="1">
      <x v="40"/>
    </i>
    <i r="1">
      <x v="61"/>
    </i>
    <i r="1">
      <x v="65"/>
    </i>
    <i r="1">
      <x v="91"/>
    </i>
    <i r="1">
      <x v="104"/>
    </i>
    <i r="1">
      <x v="112"/>
    </i>
    <i r="1">
      <x v="113"/>
    </i>
    <i r="1">
      <x v="118"/>
    </i>
    <i r="1">
      <x v="150"/>
    </i>
    <i r="1">
      <x v="151"/>
    </i>
    <i r="1">
      <x v="163"/>
    </i>
    <i r="1">
      <x v="164"/>
    </i>
    <i r="1">
      <x v="166"/>
    </i>
    <i r="1">
      <x v="167"/>
    </i>
    <i r="1">
      <x v="168"/>
    </i>
    <i r="1">
      <x v="184"/>
    </i>
    <i r="1">
      <x v="185"/>
    </i>
    <i r="1">
      <x v="186"/>
    </i>
    <i r="1">
      <x v="187"/>
    </i>
    <i r="1">
      <x v="189"/>
    </i>
    <i r="1">
      <x v="190"/>
    </i>
    <i r="1">
      <x v="191"/>
    </i>
    <i r="1">
      <x v="192"/>
    </i>
    <i r="1">
      <x v="193"/>
    </i>
    <i r="1">
      <x v="223"/>
    </i>
    <i r="1">
      <x v="227"/>
    </i>
    <i r="1">
      <x v="228"/>
    </i>
    <i r="1">
      <x v="230"/>
    </i>
    <i r="1">
      <x v="232"/>
    </i>
    <i r="1">
      <x v="234"/>
    </i>
    <i r="1">
      <x v="237"/>
    </i>
    <i r="1">
      <x v="241"/>
    </i>
    <i r="1">
      <x v="243"/>
    </i>
    <i r="1">
      <x v="244"/>
    </i>
    <i r="1">
      <x v="245"/>
    </i>
    <i r="1">
      <x v="249"/>
    </i>
    <i r="1">
      <x v="250"/>
    </i>
    <i r="1">
      <x v="253"/>
    </i>
  </rowItems>
  <colItems count="1">
    <i/>
  </colItems>
  <dataFields count="1">
    <dataField name="Count of Variable Typ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8" cacheId="8"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H1:I27" firstHeaderRow="2" firstDataRow="2" firstDataCol="1"/>
  <pivotFields count="1">
    <pivotField axis="axisRow" dataField="1" compact="0" outline="0" subtotalTop="0" showAll="0" sortType="ascending" defaultSubtotal="0">
      <items count="25">
        <item x="17"/>
        <item x="6"/>
        <item x="2"/>
        <item x="7"/>
        <item x="3"/>
        <item x="11"/>
        <item x="9"/>
        <item x="15"/>
        <item x="8"/>
        <item x="16"/>
        <item x="0"/>
        <item x="18"/>
        <item x="14"/>
        <item x="5"/>
        <item x="22"/>
        <item x="10"/>
        <item x="1"/>
        <item x="12"/>
        <item x="24"/>
        <item x="20"/>
        <item x="19"/>
        <item x="21"/>
        <item x="13"/>
        <item x="23"/>
        <item x="4"/>
      </items>
      <extLst>
        <ext xmlns:x14="http://schemas.microsoft.com/office/spreadsheetml/2009/9/main" uri="{2946ED86-A175-432a-8AC1-64E0C546D7DE}">
          <x14:pivotField fillDownLabels="1"/>
        </ext>
      </extLst>
    </pivotField>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Count of Variable Typ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gridDropZones="1" multipleFieldFilters="0">
  <location ref="F1:H343" firstHeaderRow="2" firstDataRow="2" firstDataCol="2"/>
  <pivotFields count="4">
    <pivotField compact="0" outline="0" showAll="0"/>
    <pivotField axis="axisRow" compact="0" outline="0" subtotalTop="0" showAll="0" sortType="ascending" defaultSubtotal="0">
      <items count="341">
        <item x="153"/>
        <item x="258"/>
        <item x="11"/>
        <item x="33"/>
        <item x="122"/>
        <item x="291"/>
        <item x="150"/>
        <item x="55"/>
        <item x="8"/>
        <item x="9"/>
        <item x="81"/>
        <item x="73"/>
        <item x="229"/>
        <item x="228"/>
        <item x="300"/>
        <item x="92"/>
        <item x="129"/>
        <item x="171"/>
        <item x="172"/>
        <item x="232"/>
        <item x="20"/>
        <item x="75"/>
        <item x="131"/>
        <item x="21"/>
        <item x="139"/>
        <item x="140"/>
        <item x="72"/>
        <item x="257"/>
        <item x="236"/>
        <item x="237"/>
        <item x="46"/>
        <item x="87"/>
        <item x="88"/>
        <item x="110"/>
        <item x="111"/>
        <item x="333"/>
        <item x="238"/>
        <item x="240"/>
        <item x="239"/>
        <item x="288"/>
        <item x="289"/>
        <item x="241"/>
        <item x="106"/>
        <item x="256"/>
        <item x="252"/>
        <item x="123"/>
        <item x="194"/>
        <item x="287"/>
        <item x="262"/>
        <item x="290"/>
        <item x="34"/>
        <item x="188"/>
        <item x="124"/>
        <item x="311"/>
        <item x="125"/>
        <item x="336"/>
        <item x="36"/>
        <item x="35"/>
        <item x="173"/>
        <item x="242"/>
        <item x="243"/>
        <item x="19"/>
        <item x="103"/>
        <item x="193"/>
        <item x="301"/>
        <item x="1"/>
        <item x="95"/>
        <item x="324"/>
        <item x="7"/>
        <item x="96"/>
        <item x="98"/>
        <item x="4"/>
        <item x="97"/>
        <item x="5"/>
        <item x="6"/>
        <item x="138"/>
        <item x="136"/>
        <item x="286"/>
        <item x="40"/>
        <item x="26"/>
        <item x="22"/>
        <item x="112"/>
        <item x="56"/>
        <item x="285"/>
        <item x="284"/>
        <item x="23"/>
        <item x="76"/>
        <item x="226"/>
        <item x="227"/>
        <item x="223"/>
        <item x="224"/>
        <item x="225"/>
        <item x="261"/>
        <item x="144"/>
        <item x="113"/>
        <item x="283"/>
        <item x="37"/>
        <item x="282"/>
        <item x="2"/>
        <item x="71"/>
        <item x="281"/>
        <item x="64"/>
        <item x="197"/>
        <item x="295"/>
        <item x="161"/>
        <item x="201"/>
        <item x="296"/>
        <item x="297"/>
        <item x="157"/>
        <item x="160"/>
        <item x="317"/>
        <item x="109"/>
        <item x="12"/>
        <item x="126"/>
        <item x="314"/>
        <item x="18"/>
        <item x="328"/>
        <item x="329"/>
        <item x="77"/>
        <item x="102"/>
        <item x="180"/>
        <item x="83"/>
        <item x="84"/>
        <item x="183"/>
        <item x="114"/>
        <item x="185"/>
        <item x="184"/>
        <item x="47"/>
        <item x="48"/>
        <item x="52"/>
        <item x="49"/>
        <item x="280"/>
        <item x="219"/>
        <item x="24"/>
        <item x="303"/>
        <item x="108"/>
        <item x="315"/>
        <item x="313"/>
        <item x="44"/>
        <item x="65"/>
        <item x="41"/>
        <item x="335"/>
        <item x="331"/>
        <item x="50"/>
        <item x="115"/>
        <item x="169"/>
        <item x="78"/>
        <item x="25"/>
        <item x="332"/>
        <item x="60"/>
        <item x="63"/>
        <item x="27"/>
        <item x="327"/>
        <item x="28"/>
        <item x="29"/>
        <item x="107"/>
        <item x="127"/>
        <item x="279"/>
        <item x="310"/>
        <item x="278"/>
        <item x="38"/>
        <item x="58"/>
        <item x="148"/>
        <item x="59"/>
        <item x="137"/>
        <item x="143"/>
        <item x="30"/>
        <item x="306"/>
        <item x="170"/>
        <item x="51"/>
        <item x="116"/>
        <item x="117"/>
        <item x="94"/>
        <item x="93"/>
        <item x="118"/>
        <item x="322"/>
        <item x="319"/>
        <item x="70"/>
        <item x="151"/>
        <item x="149"/>
        <item x="210"/>
        <item x="67"/>
        <item x="202"/>
        <item x="334"/>
        <item x="203"/>
        <item x="159"/>
        <item x="265"/>
        <item x="142"/>
        <item x="302"/>
        <item x="337"/>
        <item x="54"/>
        <item x="191"/>
        <item x="119"/>
        <item x="89"/>
        <item x="156"/>
        <item x="212"/>
        <item x="211"/>
        <item x="66"/>
        <item x="318"/>
        <item x="165"/>
        <item x="276"/>
        <item x="321"/>
        <item x="277"/>
        <item x="198"/>
        <item x="158"/>
        <item x="166"/>
        <item x="339"/>
        <item x="187"/>
        <item x="141"/>
        <item x="53"/>
        <item x="85"/>
        <item x="86"/>
        <item x="304"/>
        <item x="120"/>
        <item x="309"/>
        <item x="152"/>
        <item x="325"/>
        <item x="326"/>
        <item x="274"/>
        <item x="338"/>
        <item x="275"/>
        <item x="323"/>
        <item x="298"/>
        <item x="190"/>
        <item x="39"/>
        <item x="145"/>
        <item x="146"/>
        <item x="213"/>
        <item x="100"/>
        <item x="268"/>
        <item x="168"/>
        <item x="101"/>
        <item x="312"/>
        <item x="105"/>
        <item x="299"/>
        <item x="246"/>
        <item x="247"/>
        <item x="248"/>
        <item x="249"/>
        <item x="154"/>
        <item x="199"/>
        <item x="200"/>
        <item x="254"/>
        <item x="255"/>
        <item x="273"/>
        <item x="214"/>
        <item x="57"/>
        <item x="121"/>
        <item x="221"/>
        <item x="222"/>
        <item x="220"/>
        <item x="42"/>
        <item x="272"/>
        <item x="294"/>
        <item x="293"/>
        <item x="234"/>
        <item x="233"/>
        <item x="235"/>
        <item x="175"/>
        <item x="176"/>
        <item x="244"/>
        <item x="245"/>
        <item x="135"/>
        <item x="45"/>
        <item x="205"/>
        <item x="204"/>
        <item x="208"/>
        <item x="207"/>
        <item x="305"/>
        <item x="206"/>
        <item x="82"/>
        <item x="253"/>
        <item x="259"/>
        <item x="271"/>
        <item x="209"/>
        <item x="263"/>
        <item x="260"/>
        <item x="264"/>
        <item x="0"/>
        <item x="292"/>
        <item x="307"/>
        <item x="308"/>
        <item x="62"/>
        <item x="174"/>
        <item x="177"/>
        <item x="178"/>
        <item x="179"/>
        <item x="155"/>
        <item x="215"/>
        <item x="216"/>
        <item x="217"/>
        <item x="130"/>
        <item x="250"/>
        <item x="251"/>
        <item x="230"/>
        <item x="43"/>
        <item x="90"/>
        <item x="68"/>
        <item x="162"/>
        <item x="163"/>
        <item x="270"/>
        <item x="192"/>
        <item x="134"/>
        <item x="3"/>
        <item x="330"/>
        <item x="99"/>
        <item x="74"/>
        <item x="196"/>
        <item x="164"/>
        <item x="147"/>
        <item x="316"/>
        <item x="269"/>
        <item x="267"/>
        <item x="69"/>
        <item x="13"/>
        <item x="14"/>
        <item x="15"/>
        <item x="16"/>
        <item x="195"/>
        <item x="17"/>
        <item x="320"/>
        <item x="10"/>
        <item x="61"/>
        <item x="133"/>
        <item x="132"/>
        <item x="231"/>
        <item x="186"/>
        <item x="189"/>
        <item x="266"/>
        <item x="91"/>
        <item x="218"/>
        <item x="128"/>
        <item x="80"/>
        <item x="167"/>
        <item x="79"/>
        <item x="31"/>
        <item x="32"/>
        <item x="104"/>
        <item x="182"/>
        <item x="181"/>
        <item x="340"/>
      </items>
      <extLst>
        <ext xmlns:x14="http://schemas.microsoft.com/office/spreadsheetml/2009/9/main" uri="{2946ED86-A175-432a-8AC1-64E0C546D7DE}">
          <x14:pivotField fillDownLabels="1"/>
        </ext>
      </extLst>
    </pivotField>
    <pivotField axis="axisRow" dataField="1" compact="0" outline="0" subtotalTop="0" showAll="0" sortType="ascending" defaultSubtotal="0">
      <items count="63">
        <item x="49"/>
        <item x="52"/>
        <item x="1"/>
        <item x="2"/>
        <item x="26"/>
        <item x="56"/>
        <item x="27"/>
        <item x="43"/>
        <item x="61"/>
        <item x="41"/>
        <item x="59"/>
        <item x="50"/>
        <item x="0"/>
        <item x="36"/>
        <item x="5"/>
        <item x="6"/>
        <item x="22"/>
        <item x="25"/>
        <item x="7"/>
        <item x="60"/>
        <item x="8"/>
        <item x="3"/>
        <item x="20"/>
        <item x="57"/>
        <item x="9"/>
        <item x="10"/>
        <item x="54"/>
        <item x="24"/>
        <item x="28"/>
        <item x="11"/>
        <item x="23"/>
        <item x="53"/>
        <item x="55"/>
        <item x="46"/>
        <item x="45"/>
        <item x="4"/>
        <item x="21"/>
        <item x="30"/>
        <item x="12"/>
        <item x="35"/>
        <item x="58"/>
        <item x="13"/>
        <item x="29"/>
        <item x="31"/>
        <item x="47"/>
        <item x="32"/>
        <item x="33"/>
        <item x="14"/>
        <item x="37"/>
        <item x="15"/>
        <item x="51"/>
        <item x="38"/>
        <item x="34"/>
        <item x="40"/>
        <item x="44"/>
        <item x="39"/>
        <item x="16"/>
        <item x="17"/>
        <item x="42"/>
        <item x="18"/>
        <item x="48"/>
        <item x="19"/>
        <item x="62"/>
      </items>
      <extLst>
        <ext xmlns:x14="http://schemas.microsoft.com/office/spreadsheetml/2009/9/main" uri="{2946ED86-A175-432a-8AC1-64E0C546D7DE}">
          <x14:pivotField fillDownLabels="1"/>
        </ext>
      </extLst>
    </pivotField>
    <pivotField compact="0" outline="0" showAll="0"/>
  </pivotFields>
  <rowFields count="2">
    <field x="2"/>
    <field x="1"/>
  </rowFields>
  <rowItems count="341">
    <i>
      <x/>
      <x v="1"/>
    </i>
    <i>
      <x v="1"/>
      <x v="186"/>
    </i>
    <i>
      <x v="2"/>
      <x v="8"/>
    </i>
    <i r="1">
      <x v="9"/>
    </i>
    <i r="1">
      <x v="65"/>
    </i>
    <i r="1">
      <x v="68"/>
    </i>
    <i r="1">
      <x v="71"/>
    </i>
    <i r="1">
      <x v="73"/>
    </i>
    <i r="1">
      <x v="74"/>
    </i>
    <i r="1">
      <x v="75"/>
    </i>
    <i r="1">
      <x v="98"/>
    </i>
    <i r="1">
      <x v="303"/>
    </i>
    <i r="1">
      <x v="321"/>
    </i>
    <i>
      <x v="3"/>
      <x v="2"/>
    </i>
    <i r="1">
      <x v="112"/>
    </i>
    <i r="1">
      <x v="314"/>
    </i>
    <i r="1">
      <x v="315"/>
    </i>
    <i r="1">
      <x v="316"/>
    </i>
    <i r="1">
      <x v="317"/>
    </i>
    <i r="1">
      <x v="319"/>
    </i>
    <i>
      <x v="4"/>
      <x v="108"/>
    </i>
    <i r="1">
      <x v="141"/>
    </i>
    <i r="1">
      <x v="185"/>
    </i>
    <i r="1">
      <x v="204"/>
    </i>
    <i>
      <x v="5"/>
      <x v="110"/>
    </i>
    <i r="1">
      <x v="142"/>
    </i>
    <i r="1">
      <x v="206"/>
    </i>
    <i r="1">
      <x v="220"/>
    </i>
    <i r="1">
      <x v="221"/>
    </i>
    <i>
      <x v="6"/>
      <x v="109"/>
    </i>
    <i>
      <x v="7"/>
      <x v="5"/>
    </i>
    <i r="1">
      <x v="294"/>
    </i>
    <i>
      <x v="8"/>
      <x v="55"/>
    </i>
    <i>
      <x v="9"/>
      <x v="35"/>
    </i>
    <i r="1">
      <x v="48"/>
    </i>
    <i r="1">
      <x v="67"/>
    </i>
    <i r="1">
      <x v="83"/>
    </i>
    <i r="1">
      <x v="100"/>
    </i>
    <i r="1">
      <x v="102"/>
    </i>
    <i r="1">
      <x v="105"/>
    </i>
    <i r="1">
      <x v="136"/>
    </i>
    <i r="1">
      <x v="180"/>
    </i>
    <i r="1">
      <x v="182"/>
    </i>
    <i r="1">
      <x v="183"/>
    </i>
    <i r="1">
      <x v="184"/>
    </i>
    <i r="1">
      <x v="188"/>
    </i>
    <i r="1">
      <x v="189"/>
    </i>
    <i r="1">
      <x v="195"/>
    </i>
    <i r="1">
      <x v="196"/>
    </i>
    <i r="1">
      <x v="198"/>
    </i>
    <i r="1">
      <x v="201"/>
    </i>
    <i r="1">
      <x v="203"/>
    </i>
    <i r="1">
      <x v="216"/>
    </i>
    <i r="1">
      <x v="217"/>
    </i>
    <i r="1">
      <x v="218"/>
    </i>
    <i r="1">
      <x v="219"/>
    </i>
    <i r="1">
      <x v="227"/>
    </i>
    <i r="1">
      <x v="240"/>
    </i>
    <i r="1">
      <x v="241"/>
    </i>
    <i r="1">
      <x v="244"/>
    </i>
    <i r="1">
      <x v="245"/>
    </i>
    <i r="1">
      <x v="264"/>
    </i>
    <i r="1">
      <x v="265"/>
    </i>
    <i r="1">
      <x v="266"/>
    </i>
    <i r="1">
      <x v="267"/>
    </i>
    <i r="1">
      <x v="268"/>
    </i>
    <i r="1">
      <x v="269"/>
    </i>
    <i r="1">
      <x v="274"/>
    </i>
    <i r="1">
      <x v="275"/>
    </i>
    <i r="1">
      <x v="279"/>
    </i>
    <i r="1">
      <x v="280"/>
    </i>
    <i r="1">
      <x v="288"/>
    </i>
    <i r="1">
      <x v="289"/>
    </i>
    <i r="1">
      <x v="290"/>
    </i>
    <i r="1">
      <x v="307"/>
    </i>
    <i r="1">
      <x v="330"/>
    </i>
    <i>
      <x v="10"/>
      <x v="232"/>
    </i>
    <i>
      <x v="11"/>
      <x v="272"/>
    </i>
    <i>
      <x v="12"/>
      <x v="27"/>
    </i>
    <i r="1">
      <x v="43"/>
    </i>
    <i r="1">
      <x v="76"/>
    </i>
    <i r="1">
      <x v="278"/>
    </i>
    <i r="1">
      <x v="281"/>
    </i>
    <i>
      <x v="13"/>
      <x v="64"/>
    </i>
    <i r="1">
      <x v="191"/>
    </i>
    <i r="1">
      <x v="229"/>
    </i>
    <i r="1">
      <x v="311"/>
    </i>
    <i r="1">
      <x v="312"/>
    </i>
    <i>
      <x v="14"/>
      <x v="20"/>
    </i>
    <i r="1">
      <x v="23"/>
    </i>
    <i r="1">
      <x v="79"/>
    </i>
    <i r="1">
      <x v="80"/>
    </i>
    <i r="1">
      <x v="85"/>
    </i>
    <i r="1">
      <x v="133"/>
    </i>
    <i r="1">
      <x v="147"/>
    </i>
    <i r="1">
      <x v="164"/>
    </i>
    <i>
      <x v="15"/>
      <x v="24"/>
    </i>
    <i r="1">
      <x v="25"/>
    </i>
    <i r="1">
      <x v="148"/>
    </i>
    <i r="1">
      <x v="151"/>
    </i>
    <i r="1">
      <x v="152"/>
    </i>
    <i r="1">
      <x v="153"/>
    </i>
    <i r="1">
      <x v="154"/>
    </i>
    <i r="1">
      <x v="166"/>
    </i>
    <i r="1">
      <x v="335"/>
    </i>
    <i r="1">
      <x v="336"/>
    </i>
    <i>
      <x v="16"/>
      <x v="134"/>
    </i>
    <i r="1">
      <x v="165"/>
    </i>
    <i>
      <x v="17"/>
      <x/>
    </i>
    <i>
      <x v="18"/>
      <x v="3"/>
    </i>
    <i r="1">
      <x v="47"/>
    </i>
    <i r="1">
      <x v="49"/>
    </i>
    <i r="1">
      <x v="50"/>
    </i>
    <i r="1">
      <x v="56"/>
    </i>
    <i r="1">
      <x v="57"/>
    </i>
    <i r="1">
      <x v="77"/>
    </i>
    <i r="1">
      <x v="92"/>
    </i>
    <i r="1">
      <x v="93"/>
    </i>
    <i r="1">
      <x v="95"/>
    </i>
    <i r="1">
      <x v="96"/>
    </i>
    <i r="1">
      <x v="97"/>
    </i>
    <i r="1">
      <x v="157"/>
    </i>
    <i r="1">
      <x v="158"/>
    </i>
    <i r="1">
      <x v="159"/>
    </i>
    <i r="1">
      <x v="160"/>
    </i>
    <i r="1">
      <x v="224"/>
    </i>
    <i r="1">
      <x v="225"/>
    </i>
    <i r="1">
      <x v="226"/>
    </i>
    <i>
      <x v="19"/>
      <x v="304"/>
    </i>
    <i>
      <x v="20"/>
      <x v="78"/>
    </i>
    <i r="1">
      <x v="138"/>
    </i>
    <i r="1">
      <x v="140"/>
    </i>
    <i r="1">
      <x v="251"/>
    </i>
    <i r="1">
      <x v="263"/>
    </i>
    <i r="1">
      <x v="295"/>
    </i>
    <i>
      <x v="21"/>
      <x v="115"/>
    </i>
    <i>
      <x v="22"/>
      <x v="208"/>
    </i>
    <i>
      <x v="23"/>
      <x v="84"/>
    </i>
    <i>
      <x v="24"/>
      <x v="7"/>
    </i>
    <i r="1">
      <x v="30"/>
    </i>
    <i r="1">
      <x v="82"/>
    </i>
    <i r="1">
      <x v="127"/>
    </i>
    <i r="1">
      <x v="128"/>
    </i>
    <i r="1">
      <x v="129"/>
    </i>
    <i r="1">
      <x v="130"/>
    </i>
    <i r="1">
      <x v="143"/>
    </i>
    <i r="1">
      <x v="169"/>
    </i>
    <i r="1">
      <x v="190"/>
    </i>
    <i r="1">
      <x v="209"/>
    </i>
    <i r="1">
      <x v="246"/>
    </i>
    <i>
      <x v="25"/>
      <x v="6"/>
    </i>
    <i r="1">
      <x v="149"/>
    </i>
    <i r="1">
      <x v="150"/>
    </i>
    <i r="1">
      <x v="161"/>
    </i>
    <i r="1">
      <x v="163"/>
    </i>
    <i r="1">
      <x v="178"/>
    </i>
    <i r="1">
      <x v="215"/>
    </i>
    <i r="1">
      <x v="282"/>
    </i>
    <i r="1">
      <x v="322"/>
    </i>
    <i>
      <x v="26"/>
      <x v="273"/>
    </i>
    <i>
      <x v="27"/>
      <x v="162"/>
    </i>
    <i r="1">
      <x v="179"/>
    </i>
    <i>
      <x v="28"/>
      <x v="104"/>
    </i>
    <i r="1">
      <x v="106"/>
    </i>
    <i r="1">
      <x v="107"/>
    </i>
    <i r="1">
      <x v="137"/>
    </i>
    <i r="1">
      <x v="202"/>
    </i>
    <i r="1">
      <x v="298"/>
    </i>
    <i r="1">
      <x v="299"/>
    </i>
    <i r="1">
      <x v="308"/>
    </i>
    <i r="1">
      <x v="310"/>
    </i>
    <i>
      <x v="29"/>
      <x v="11"/>
    </i>
    <i r="1">
      <x v="26"/>
    </i>
    <i r="1">
      <x v="99"/>
    </i>
    <i r="1">
      <x v="101"/>
    </i>
    <i r="1">
      <x v="139"/>
    </i>
    <i r="1">
      <x v="177"/>
    </i>
    <i r="1">
      <x v="181"/>
    </i>
    <i r="1">
      <x v="194"/>
    </i>
    <i r="1">
      <x v="197"/>
    </i>
    <i r="1">
      <x v="239"/>
    </i>
    <i r="1">
      <x v="287"/>
    </i>
    <i r="1">
      <x v="297"/>
    </i>
    <i r="1">
      <x v="306"/>
    </i>
    <i r="1">
      <x v="313"/>
    </i>
    <i>
      <x v="30"/>
      <x v="309"/>
    </i>
    <i>
      <x v="31"/>
      <x v="328"/>
    </i>
    <i>
      <x v="32"/>
      <x v="252"/>
    </i>
    <i>
      <x v="33"/>
      <x v="28"/>
    </i>
    <i r="1">
      <x v="29"/>
    </i>
    <i r="1">
      <x v="36"/>
    </i>
    <i r="1">
      <x v="37"/>
    </i>
    <i r="1">
      <x v="38"/>
    </i>
    <i r="1">
      <x v="39"/>
    </i>
    <i r="1">
      <x v="40"/>
    </i>
    <i r="1">
      <x v="41"/>
    </i>
    <i r="1">
      <x v="59"/>
    </i>
    <i r="1">
      <x v="60"/>
    </i>
    <i r="1">
      <x v="235"/>
    </i>
    <i r="1">
      <x v="236"/>
    </i>
    <i r="1">
      <x v="237"/>
    </i>
    <i r="1">
      <x v="238"/>
    </i>
    <i r="1">
      <x v="253"/>
    </i>
    <i r="1">
      <x v="254"/>
    </i>
    <i r="1">
      <x v="255"/>
    </i>
    <i r="1">
      <x v="256"/>
    </i>
    <i r="1">
      <x v="257"/>
    </i>
    <i r="1">
      <x v="260"/>
    </i>
    <i r="1">
      <x v="261"/>
    </i>
    <i r="1">
      <x v="292"/>
    </i>
    <i r="1">
      <x v="293"/>
    </i>
    <i>
      <x v="34"/>
      <x v="19"/>
    </i>
    <i>
      <x v="35"/>
      <x v="61"/>
    </i>
    <i>
      <x v="36"/>
      <x v="187"/>
    </i>
    <i>
      <x v="37"/>
      <x v="230"/>
    </i>
    <i r="1">
      <x v="333"/>
    </i>
    <i>
      <x v="38"/>
      <x v="21"/>
    </i>
    <i r="1">
      <x v="86"/>
    </i>
    <i r="1">
      <x v="118"/>
    </i>
    <i r="1">
      <x v="146"/>
    </i>
    <i r="1">
      <x v="332"/>
    </i>
    <i r="1">
      <x v="334"/>
    </i>
    <i>
      <x v="39"/>
      <x v="116"/>
    </i>
    <i r="1">
      <x v="125"/>
    </i>
    <i>
      <x v="40"/>
      <x v="14"/>
    </i>
    <i>
      <x v="41"/>
      <x v="10"/>
    </i>
    <i r="1">
      <x v="15"/>
    </i>
    <i r="1">
      <x v="31"/>
    </i>
    <i r="1">
      <x v="32"/>
    </i>
    <i r="1">
      <x v="114"/>
    </i>
    <i r="1">
      <x v="121"/>
    </i>
    <i r="1">
      <x v="122"/>
    </i>
    <i r="1">
      <x v="145"/>
    </i>
    <i r="1">
      <x v="168"/>
    </i>
    <i r="1">
      <x v="193"/>
    </i>
    <i r="1">
      <x v="210"/>
    </i>
    <i r="1">
      <x v="211"/>
    </i>
    <i r="1">
      <x v="270"/>
    </i>
    <i r="1">
      <x v="296"/>
    </i>
    <i r="1">
      <x v="329"/>
    </i>
    <i>
      <x v="42"/>
      <x v="103"/>
    </i>
    <i r="1">
      <x v="199"/>
    </i>
    <i r="1">
      <x v="200"/>
    </i>
    <i r="1">
      <x v="205"/>
    </i>
    <i>
      <x v="43"/>
      <x v="17"/>
    </i>
    <i r="1">
      <x v="18"/>
    </i>
    <i r="1">
      <x v="58"/>
    </i>
    <i r="1">
      <x v="283"/>
    </i>
    <i>
      <x v="44"/>
      <x v="44"/>
    </i>
    <i r="1">
      <x v="271"/>
    </i>
    <i>
      <x v="45"/>
      <x v="258"/>
    </i>
    <i>
      <x v="46"/>
      <x v="259"/>
    </i>
    <i>
      <x v="47"/>
      <x v="173"/>
    </i>
    <i>
      <x v="48"/>
      <x v="300"/>
    </i>
    <i r="1">
      <x v="301"/>
    </i>
    <i>
      <x v="49"/>
      <x v="172"/>
    </i>
    <i>
      <x v="50"/>
      <x v="276"/>
    </i>
    <i r="1">
      <x v="277"/>
    </i>
    <i>
      <x v="51"/>
      <x v="63"/>
    </i>
    <i>
      <x v="52"/>
      <x v="284"/>
    </i>
    <i r="1">
      <x v="285"/>
    </i>
    <i r="1">
      <x v="286"/>
    </i>
    <i>
      <x v="53"/>
      <x v="318"/>
    </i>
    <i>
      <x v="54"/>
      <x v="325"/>
    </i>
    <i>
      <x v="55"/>
      <x v="46"/>
    </i>
    <i>
      <x v="56"/>
      <x v="66"/>
    </i>
    <i r="1">
      <x v="69"/>
    </i>
    <i r="1">
      <x v="70"/>
    </i>
    <i r="1">
      <x v="72"/>
    </i>
    <i r="1">
      <x v="175"/>
    </i>
    <i r="1">
      <x v="320"/>
    </i>
    <i>
      <x v="57"/>
      <x v="42"/>
    </i>
    <i r="1">
      <x v="62"/>
    </i>
    <i r="1">
      <x v="111"/>
    </i>
    <i r="1">
      <x v="119"/>
    </i>
    <i r="1">
      <x v="120"/>
    </i>
    <i r="1">
      <x v="135"/>
    </i>
    <i r="1">
      <x v="155"/>
    </i>
    <i r="1">
      <x v="228"/>
    </i>
    <i r="1">
      <x v="231"/>
    </i>
    <i r="1">
      <x v="233"/>
    </i>
    <i r="1">
      <x v="234"/>
    </i>
    <i r="1">
      <x v="305"/>
    </i>
    <i r="1">
      <x v="337"/>
    </i>
    <i r="1">
      <x v="338"/>
    </i>
    <i r="1">
      <x v="339"/>
    </i>
    <i>
      <x v="58"/>
      <x v="12"/>
    </i>
    <i r="1">
      <x v="13"/>
    </i>
    <i r="1">
      <x v="87"/>
    </i>
    <i r="1">
      <x v="88"/>
    </i>
    <i r="1">
      <x v="89"/>
    </i>
    <i r="1">
      <x v="90"/>
    </i>
    <i r="1">
      <x v="91"/>
    </i>
    <i r="1">
      <x v="131"/>
    </i>
    <i r="1">
      <x v="132"/>
    </i>
    <i r="1">
      <x v="248"/>
    </i>
    <i r="1">
      <x v="249"/>
    </i>
    <i r="1">
      <x v="250"/>
    </i>
    <i>
      <x v="59"/>
      <x v="33"/>
    </i>
    <i r="1">
      <x v="34"/>
    </i>
    <i r="1">
      <x v="81"/>
    </i>
    <i r="1">
      <x v="94"/>
    </i>
    <i r="1">
      <x v="117"/>
    </i>
    <i r="1">
      <x v="123"/>
    </i>
    <i r="1">
      <x v="124"/>
    </i>
    <i r="1">
      <x v="126"/>
    </i>
    <i r="1">
      <x v="144"/>
    </i>
    <i r="1">
      <x v="170"/>
    </i>
    <i r="1">
      <x v="171"/>
    </i>
    <i r="1">
      <x v="174"/>
    </i>
    <i r="1">
      <x v="176"/>
    </i>
    <i r="1">
      <x v="192"/>
    </i>
    <i r="1">
      <x v="212"/>
    </i>
    <i r="1">
      <x v="213"/>
    </i>
    <i r="1">
      <x v="214"/>
    </i>
    <i r="1">
      <x v="247"/>
    </i>
    <i>
      <x v="60"/>
      <x v="242"/>
    </i>
    <i r="1">
      <x v="243"/>
    </i>
    <i>
      <x v="61"/>
      <x v="4"/>
    </i>
    <i r="1">
      <x v="16"/>
    </i>
    <i r="1">
      <x v="22"/>
    </i>
    <i r="1">
      <x v="45"/>
    </i>
    <i r="1">
      <x v="51"/>
    </i>
    <i r="1">
      <x v="52"/>
    </i>
    <i r="1">
      <x v="53"/>
    </i>
    <i r="1">
      <x v="54"/>
    </i>
    <i r="1">
      <x v="113"/>
    </i>
    <i r="1">
      <x v="156"/>
    </i>
    <i r="1">
      <x v="167"/>
    </i>
    <i r="1">
      <x v="207"/>
    </i>
    <i r="1">
      <x v="222"/>
    </i>
    <i r="1">
      <x v="223"/>
    </i>
    <i r="1">
      <x v="262"/>
    </i>
    <i r="1">
      <x v="291"/>
    </i>
    <i r="1">
      <x v="302"/>
    </i>
    <i r="1">
      <x v="323"/>
    </i>
    <i r="1">
      <x v="324"/>
    </i>
    <i r="1">
      <x v="326"/>
    </i>
    <i r="1">
      <x v="327"/>
    </i>
    <i r="1">
      <x v="331"/>
    </i>
    <i>
      <x v="62"/>
      <x v="340"/>
    </i>
  </rowItems>
  <colItems count="1">
    <i/>
  </colItems>
  <dataFields count="1">
    <dataField name="Count of UnitsTyp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8" Type="http://schemas.openxmlformats.org/officeDocument/2006/relationships/hyperlink" Target="mailto:tlbott@stroudcenter.org" TargetMode="External"/><Relationship Id="rId13" Type="http://schemas.openxmlformats.org/officeDocument/2006/relationships/hyperlink" Target="mailto:kdixon@stroudcenter.org" TargetMode="External"/><Relationship Id="rId18" Type="http://schemas.openxmlformats.org/officeDocument/2006/relationships/hyperlink" Target="mailto:mgentile@stroudcenter.org" TargetMode="External"/><Relationship Id="rId26" Type="http://schemas.openxmlformats.org/officeDocument/2006/relationships/hyperlink" Target="mailto:dkarwan@stroudcenter.org" TargetMode="External"/><Relationship Id="rId39" Type="http://schemas.openxmlformats.org/officeDocument/2006/relationships/hyperlink" Target="mailto:jsowden@stroudcenter.org" TargetMode="External"/><Relationship Id="rId3" Type="http://schemas.openxmlformats.org/officeDocument/2006/relationships/hyperlink" Target="mailto:darscott@stroudcenter.org" TargetMode="External"/><Relationship Id="rId21" Type="http://schemas.openxmlformats.org/officeDocument/2006/relationships/hyperlink" Target="mailto:shicks@stroudcenter.org" TargetMode="External"/><Relationship Id="rId34" Type="http://schemas.openxmlformats.org/officeDocument/2006/relationships/hyperlink" Target="mailto:newbold@stroudcenter.org" TargetMode="External"/><Relationship Id="rId42" Type="http://schemas.openxmlformats.org/officeDocument/2006/relationships/hyperlink" Target="mailto:rmweber@stroudcenter.org" TargetMode="External"/><Relationship Id="rId7" Type="http://schemas.openxmlformats.org/officeDocument/2006/relationships/hyperlink" Target="mailto:lborecki@stroudcenter.org" TargetMode="External"/><Relationship Id="rId12" Type="http://schemas.openxmlformats.org/officeDocument/2006/relationships/hyperlink" Target="mailto:sdix@stroudcenter.org" TargetMode="External"/><Relationship Id="rId17" Type="http://schemas.openxmlformats.org/officeDocument/2006/relationships/hyperlink" Target="mailto:sgeleskie@stroudcenter.org" TargetMode="External"/><Relationship Id="rId25" Type="http://schemas.openxmlformats.org/officeDocument/2006/relationships/hyperlink" Target="mailto:lakaplan@stroudcenter.org" TargetMode="External"/><Relationship Id="rId33" Type="http://schemas.openxmlformats.org/officeDocument/2006/relationships/hyperlink" Target="mailto:jmosher@stroudcenter.org" TargetMode="External"/><Relationship Id="rId38" Type="http://schemas.openxmlformats.org/officeDocument/2006/relationships/hyperlink" Target="mailto:crosier@udel.edu" TargetMode="External"/><Relationship Id="rId2" Type="http://schemas.openxmlformats.org/officeDocument/2006/relationships/hyperlink" Target="mailto:marnold@stroudcenter.org" TargetMode="External"/><Relationship Id="rId16" Type="http://schemas.openxmlformats.org/officeDocument/2006/relationships/hyperlink" Target="mailto:dhfunk@stroudcenter.org" TargetMode="External"/><Relationship Id="rId20" Type="http://schemas.openxmlformats.org/officeDocument/2006/relationships/hyperlink" Target="mailto:lgregg@stroudcenter.org" TargetMode="External"/><Relationship Id="rId29" Type="http://schemas.openxmlformats.org/officeDocument/2006/relationships/hyperlink" Target="mailto:chmc@sas.upenn.edu" TargetMode="External"/><Relationship Id="rId41" Type="http://schemas.openxmlformats.org/officeDocument/2006/relationships/hyperlink" Target="mailto:svontill@stroudcenter.org" TargetMode="External"/><Relationship Id="rId1" Type="http://schemas.openxmlformats.org/officeDocument/2006/relationships/hyperlink" Target="mailto:banderson@stroudcenter.org" TargetMode="External"/><Relationship Id="rId6" Type="http://schemas.openxmlformats.org/officeDocument/2006/relationships/hyperlink" Target="mailto:jblaine1945@gmail.com" TargetMode="External"/><Relationship Id="rId11" Type="http://schemas.openxmlformats.org/officeDocument/2006/relationships/hyperlink" Target="mailto:lcarter@stroudcenter.org" TargetMode="External"/><Relationship Id="rId24" Type="http://schemas.openxmlformats.org/officeDocument/2006/relationships/hyperlink" Target="mailto:jkan@stroudcenter.org" TargetMode="External"/><Relationship Id="rId32" Type="http://schemas.openxmlformats.org/officeDocument/2006/relationships/hyperlink" Target="mailto:davemont@stroudcenter.org" TargetMode="External"/><Relationship Id="rId37" Type="http://schemas.openxmlformats.org/officeDocument/2006/relationships/hyperlink" Target="mailto:sroberts@stroudcenter.org" TargetMode="External"/><Relationship Id="rId40" Type="http://schemas.openxmlformats.org/officeDocument/2006/relationships/hyperlink" Target="mailto:sweeney@stroudcenter.org" TargetMode="External"/><Relationship Id="rId5" Type="http://schemas.openxmlformats.org/officeDocument/2006/relationships/hyperlink" Target="mailto:jbattle@stroudcenter.org" TargetMode="External"/><Relationship Id="rId15" Type="http://schemas.openxmlformats.org/officeDocument/2006/relationships/hyperlink" Target="mailto:weldridge@stroudcenter.org" TargetMode="External"/><Relationship Id="rId23" Type="http://schemas.openxmlformats.org/officeDocument/2006/relationships/hyperlink" Target="mailto:jkjackson@stroudcenter.org" TargetMode="External"/><Relationship Id="rId28" Type="http://schemas.openxmlformats.org/officeDocument/2006/relationships/hyperlink" Target="mailto:klisi@stroudcenter.org" TargetMode="External"/><Relationship Id="rId36" Type="http://schemas.openxmlformats.org/officeDocument/2006/relationships/hyperlink" Target="mailto:jdpepe@stroudcenter.org" TargetMode="External"/><Relationship Id="rId10" Type="http://schemas.openxmlformats.org/officeDocument/2006/relationships/hyperlink" Target="mailto:mbroomall@stroudcenter.org" TargetMode="External"/><Relationship Id="rId19" Type="http://schemas.openxmlformats.org/officeDocument/2006/relationships/hyperlink" Target="mailto:sgill@stroudcenter.org" TargetMode="External"/><Relationship Id="rId31" Type="http://schemas.openxmlformats.org/officeDocument/2006/relationships/hyperlink" Target="mailto:wmilliken@stroudcenter.org" TargetMode="External"/><Relationship Id="rId44" Type="http://schemas.openxmlformats.org/officeDocument/2006/relationships/hyperlink" Target="mailto:yi.mei@vanderbilt.edu" TargetMode="External"/><Relationship Id="rId4" Type="http://schemas.openxmlformats.org/officeDocument/2006/relationships/hyperlink" Target="mailto:aufdenkampe@stroudcenter.org" TargetMode="External"/><Relationship Id="rId9" Type="http://schemas.openxmlformats.org/officeDocument/2006/relationships/hyperlink" Target="mailto:hbrooks@stroudcenter.org" TargetMode="External"/><Relationship Id="rId14" Type="http://schemas.openxmlformats.org/officeDocument/2006/relationships/hyperlink" Target="mailto:cdow@stroudcenter.org" TargetMode="External"/><Relationship Id="rId22" Type="http://schemas.openxmlformats.org/officeDocument/2006/relationships/hyperlink" Target="mailto:dhuskinson@stroudcenter.org" TargetMode="External"/><Relationship Id="rId27" Type="http://schemas.openxmlformats.org/officeDocument/2006/relationships/hyperlink" Target="mailto:olesyalaz@gmail.com" TargetMode="External"/><Relationship Id="rId30" Type="http://schemas.openxmlformats.org/officeDocument/2006/relationships/hyperlink" Target="mailto:cmedved@stroudcenter.org" TargetMode="External"/><Relationship Id="rId35" Type="http://schemas.openxmlformats.org/officeDocument/2006/relationships/hyperlink" Target="mailto:speirson@stroudcenter.org" TargetMode="External"/><Relationship Id="rId43" Type="http://schemas.openxmlformats.org/officeDocument/2006/relationships/hyperlink" Target="mailto:vwilliamsee@gmail.com" TargetMode="Externa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6"/>
  <sheetViews>
    <sheetView workbookViewId="0">
      <pane xSplit="1" ySplit="1" topLeftCell="D8" activePane="bottomRight" state="frozen"/>
      <selection pane="topRight" activeCell="B1" sqref="B1"/>
      <selection pane="bottomLeft" activeCell="A2" sqref="A2"/>
      <selection pane="bottomRight" activeCell="A18" sqref="A18:XFD18"/>
    </sheetView>
  </sheetViews>
  <sheetFormatPr defaultColWidth="8.85546875" defaultRowHeight="12.75" x14ac:dyDescent="0.2"/>
  <cols>
    <col min="1" max="1" width="16" bestFit="1" customWidth="1"/>
    <col min="4" max="4" width="11.42578125" bestFit="1" customWidth="1"/>
    <col min="5" max="5" width="15.42578125" style="5" bestFit="1" customWidth="1"/>
    <col min="6" max="6" width="18.140625" style="1" bestFit="1" customWidth="1"/>
    <col min="7" max="7" width="9.42578125" bestFit="1" customWidth="1"/>
    <col min="8" max="8" width="11.42578125" bestFit="1" customWidth="1"/>
    <col min="9" max="9" width="17.85546875" bestFit="1" customWidth="1"/>
    <col min="10" max="10" width="21.85546875" bestFit="1" customWidth="1"/>
    <col min="11" max="11" width="9.42578125" bestFit="1" customWidth="1"/>
    <col min="12" max="12" width="14.85546875" bestFit="1" customWidth="1"/>
    <col min="13" max="13" width="15.42578125" bestFit="1" customWidth="1"/>
    <col min="14" max="14" width="19.42578125" bestFit="1" customWidth="1"/>
    <col min="15" max="15" width="14.42578125" bestFit="1" customWidth="1"/>
    <col min="16" max="16" width="11" bestFit="1" customWidth="1"/>
    <col min="17" max="17" width="6.28515625" bestFit="1" customWidth="1"/>
    <col min="18" max="18" width="15.7109375" bestFit="1" customWidth="1"/>
    <col min="19" max="19" width="15.42578125" bestFit="1" customWidth="1"/>
    <col min="20" max="20" width="15.7109375" bestFit="1" customWidth="1"/>
  </cols>
  <sheetData>
    <row r="1" spans="1:18" s="2" customFormat="1" ht="26.25" customHeight="1" x14ac:dyDescent="0.2">
      <c r="A1" t="s">
        <v>6</v>
      </c>
      <c r="B1" t="s">
        <v>1</v>
      </c>
      <c r="C1" t="s">
        <v>81</v>
      </c>
      <c r="D1" t="s">
        <v>10</v>
      </c>
      <c r="E1" s="4" t="s">
        <v>7</v>
      </c>
      <c r="F1" t="s">
        <v>61</v>
      </c>
      <c r="G1" t="s">
        <v>0</v>
      </c>
      <c r="H1" t="s">
        <v>8</v>
      </c>
      <c r="I1" t="s">
        <v>3</v>
      </c>
      <c r="J1" t="s">
        <v>82</v>
      </c>
      <c r="K1" t="s">
        <v>2</v>
      </c>
      <c r="L1" t="s">
        <v>4</v>
      </c>
      <c r="M1" t="s">
        <v>88</v>
      </c>
      <c r="N1" t="s">
        <v>5</v>
      </c>
      <c r="O1" t="s">
        <v>83</v>
      </c>
      <c r="P1" t="s">
        <v>51</v>
      </c>
      <c r="Q1" t="s">
        <v>21</v>
      </c>
      <c r="R1" t="s">
        <v>57</v>
      </c>
    </row>
    <row r="2" spans="1:18" x14ac:dyDescent="0.2">
      <c r="A2">
        <v>29</v>
      </c>
      <c r="B2">
        <v>1762</v>
      </c>
      <c r="C2" t="s">
        <v>80</v>
      </c>
      <c r="D2" t="s">
        <v>16</v>
      </c>
      <c r="E2" s="4">
        <v>40366</v>
      </c>
      <c r="F2" t="s">
        <v>63</v>
      </c>
      <c r="G2" t="s">
        <v>35</v>
      </c>
      <c r="H2">
        <v>1</v>
      </c>
      <c r="I2" t="s">
        <v>18</v>
      </c>
      <c r="J2" t="s">
        <v>37</v>
      </c>
      <c r="K2">
        <v>1762</v>
      </c>
      <c r="L2" t="s">
        <v>18</v>
      </c>
      <c r="M2" t="s">
        <v>50</v>
      </c>
      <c r="N2" t="s">
        <v>34</v>
      </c>
      <c r="O2">
        <v>15</v>
      </c>
      <c r="P2" t="s">
        <v>52</v>
      </c>
      <c r="Q2" t="s">
        <v>22</v>
      </c>
    </row>
    <row r="3" spans="1:18" x14ac:dyDescent="0.2">
      <c r="A3">
        <v>30</v>
      </c>
      <c r="B3">
        <v>1762</v>
      </c>
      <c r="C3" t="s">
        <v>80</v>
      </c>
      <c r="D3" t="s">
        <v>16</v>
      </c>
      <c r="E3" s="4">
        <v>40366</v>
      </c>
      <c r="F3" t="s">
        <v>63</v>
      </c>
      <c r="G3" t="s">
        <v>35</v>
      </c>
      <c r="H3">
        <v>2</v>
      </c>
      <c r="I3" t="s">
        <v>12</v>
      </c>
      <c r="J3" t="s">
        <v>37</v>
      </c>
      <c r="K3">
        <v>1762</v>
      </c>
      <c r="L3" t="s">
        <v>19</v>
      </c>
      <c r="M3" t="s">
        <v>50</v>
      </c>
      <c r="N3" t="s">
        <v>20</v>
      </c>
      <c r="O3">
        <v>15</v>
      </c>
      <c r="P3" t="s">
        <v>52</v>
      </c>
      <c r="Q3" t="s">
        <v>22</v>
      </c>
    </row>
    <row r="4" spans="1:18" x14ac:dyDescent="0.2">
      <c r="A4">
        <v>45</v>
      </c>
      <c r="B4">
        <v>1762</v>
      </c>
      <c r="C4" t="s">
        <v>80</v>
      </c>
      <c r="D4" t="s">
        <v>16</v>
      </c>
      <c r="E4" s="4">
        <v>40620</v>
      </c>
      <c r="F4" t="s">
        <v>62</v>
      </c>
      <c r="G4" t="s">
        <v>35</v>
      </c>
      <c r="H4">
        <v>1</v>
      </c>
      <c r="I4" t="s">
        <v>18</v>
      </c>
      <c r="J4" t="s">
        <v>37</v>
      </c>
      <c r="K4">
        <v>1762</v>
      </c>
      <c r="L4" t="s">
        <v>18</v>
      </c>
      <c r="M4" t="s">
        <v>50</v>
      </c>
      <c r="N4" t="s">
        <v>34</v>
      </c>
      <c r="O4">
        <v>5</v>
      </c>
      <c r="P4" t="s">
        <v>52</v>
      </c>
      <c r="Q4" t="s">
        <v>22</v>
      </c>
    </row>
    <row r="5" spans="1:18" x14ac:dyDescent="0.2">
      <c r="A5">
        <v>46</v>
      </c>
      <c r="B5">
        <v>1762</v>
      </c>
      <c r="C5" t="s">
        <v>80</v>
      </c>
      <c r="D5" t="s">
        <v>16</v>
      </c>
      <c r="E5" s="4">
        <v>40620</v>
      </c>
      <c r="F5" t="s">
        <v>62</v>
      </c>
      <c r="G5" t="s">
        <v>35</v>
      </c>
      <c r="H5">
        <v>2</v>
      </c>
      <c r="I5" t="s">
        <v>12</v>
      </c>
      <c r="J5" t="s">
        <v>37</v>
      </c>
      <c r="K5">
        <v>1762</v>
      </c>
      <c r="L5" t="s">
        <v>19</v>
      </c>
      <c r="M5" t="s">
        <v>50</v>
      </c>
      <c r="N5" t="s">
        <v>20</v>
      </c>
      <c r="O5">
        <v>5</v>
      </c>
      <c r="P5" t="s">
        <v>52</v>
      </c>
      <c r="Q5" t="s">
        <v>22</v>
      </c>
    </row>
    <row r="6" spans="1:18" x14ac:dyDescent="0.2">
      <c r="A6">
        <v>31</v>
      </c>
      <c r="B6">
        <v>1876</v>
      </c>
      <c r="C6" t="s">
        <v>80</v>
      </c>
      <c r="D6" t="s">
        <v>16</v>
      </c>
      <c r="E6" s="4">
        <v>40366</v>
      </c>
      <c r="F6"/>
      <c r="G6" t="s">
        <v>17</v>
      </c>
      <c r="H6">
        <v>1</v>
      </c>
      <c r="I6" t="s">
        <v>18</v>
      </c>
      <c r="J6" t="s">
        <v>37</v>
      </c>
      <c r="K6">
        <v>1876</v>
      </c>
      <c r="L6" t="s">
        <v>18</v>
      </c>
      <c r="M6" t="s">
        <v>50</v>
      </c>
      <c r="N6" t="s">
        <v>34</v>
      </c>
      <c r="O6">
        <v>15</v>
      </c>
      <c r="P6" t="s">
        <v>52</v>
      </c>
      <c r="Q6" t="s">
        <v>22</v>
      </c>
    </row>
    <row r="7" spans="1:18" x14ac:dyDescent="0.2">
      <c r="A7">
        <v>32</v>
      </c>
      <c r="B7">
        <v>1876</v>
      </c>
      <c r="C7" t="s">
        <v>80</v>
      </c>
      <c r="D7" t="s">
        <v>16</v>
      </c>
      <c r="E7" s="4">
        <v>40366</v>
      </c>
      <c r="F7"/>
      <c r="G7" t="s">
        <v>17</v>
      </c>
      <c r="H7">
        <v>2</v>
      </c>
      <c r="I7" t="s">
        <v>12</v>
      </c>
      <c r="J7" t="s">
        <v>37</v>
      </c>
      <c r="K7">
        <v>1876</v>
      </c>
      <c r="L7" t="s">
        <v>19</v>
      </c>
      <c r="M7" t="s">
        <v>50</v>
      </c>
      <c r="N7" t="s">
        <v>20</v>
      </c>
      <c r="O7">
        <v>15</v>
      </c>
      <c r="P7" t="s">
        <v>52</v>
      </c>
      <c r="Q7" t="s">
        <v>22</v>
      </c>
    </row>
    <row r="8" spans="1:18" x14ac:dyDescent="0.2">
      <c r="A8">
        <v>47</v>
      </c>
      <c r="B8">
        <v>1876</v>
      </c>
      <c r="C8" t="s">
        <v>80</v>
      </c>
      <c r="D8" t="s">
        <v>16</v>
      </c>
      <c r="E8" s="4">
        <v>40620</v>
      </c>
      <c r="F8" t="s">
        <v>62</v>
      </c>
      <c r="G8" t="s">
        <v>17</v>
      </c>
      <c r="H8">
        <v>1</v>
      </c>
      <c r="I8" t="s">
        <v>18</v>
      </c>
      <c r="J8" t="s">
        <v>37</v>
      </c>
      <c r="K8">
        <v>1876</v>
      </c>
      <c r="L8" t="s">
        <v>18</v>
      </c>
      <c r="M8" t="s">
        <v>50</v>
      </c>
      <c r="N8" t="s">
        <v>34</v>
      </c>
      <c r="O8">
        <v>5</v>
      </c>
      <c r="P8" t="s">
        <v>52</v>
      </c>
      <c r="Q8" t="s">
        <v>22</v>
      </c>
    </row>
    <row r="9" spans="1:18" x14ac:dyDescent="0.2">
      <c r="A9">
        <v>48</v>
      </c>
      <c r="B9">
        <v>1876</v>
      </c>
      <c r="C9" t="s">
        <v>80</v>
      </c>
      <c r="D9" t="s">
        <v>16</v>
      </c>
      <c r="E9" s="4">
        <v>40620</v>
      </c>
      <c r="F9" t="s">
        <v>62</v>
      </c>
      <c r="G9" t="s">
        <v>17</v>
      </c>
      <c r="H9">
        <v>2</v>
      </c>
      <c r="I9" t="s">
        <v>12</v>
      </c>
      <c r="J9" t="s">
        <v>37</v>
      </c>
      <c r="K9">
        <v>1876</v>
      </c>
      <c r="L9" t="s">
        <v>19</v>
      </c>
      <c r="M9" t="s">
        <v>50</v>
      </c>
      <c r="N9" t="s">
        <v>20</v>
      </c>
      <c r="O9">
        <v>5</v>
      </c>
      <c r="P9" t="s">
        <v>52</v>
      </c>
      <c r="Q9" t="s">
        <v>22</v>
      </c>
    </row>
    <row r="10" spans="1:18" x14ac:dyDescent="0.2">
      <c r="A10">
        <v>17</v>
      </c>
      <c r="B10">
        <v>1902</v>
      </c>
      <c r="C10" t="s">
        <v>80</v>
      </c>
      <c r="D10" t="s">
        <v>16</v>
      </c>
      <c r="E10" s="4">
        <v>39871</v>
      </c>
      <c r="F10"/>
      <c r="G10" t="s">
        <v>33</v>
      </c>
      <c r="H10">
        <v>1</v>
      </c>
      <c r="I10" t="s">
        <v>18</v>
      </c>
      <c r="J10" t="s">
        <v>37</v>
      </c>
      <c r="K10">
        <v>1902</v>
      </c>
      <c r="L10" t="s">
        <v>18</v>
      </c>
      <c r="M10" t="s">
        <v>50</v>
      </c>
      <c r="N10" t="s">
        <v>34</v>
      </c>
      <c r="O10">
        <v>15</v>
      </c>
      <c r="P10" t="s">
        <v>52</v>
      </c>
      <c r="Q10" t="s">
        <v>22</v>
      </c>
    </row>
    <row r="11" spans="1:18" x14ac:dyDescent="0.2">
      <c r="A11">
        <v>18</v>
      </c>
      <c r="B11">
        <v>1902</v>
      </c>
      <c r="C11" t="s">
        <v>80</v>
      </c>
      <c r="D11" t="s">
        <v>16</v>
      </c>
      <c r="E11" s="4">
        <v>39871</v>
      </c>
      <c r="F11"/>
      <c r="G11" t="s">
        <v>33</v>
      </c>
      <c r="H11">
        <v>2</v>
      </c>
      <c r="I11" t="s">
        <v>12</v>
      </c>
      <c r="J11" t="s">
        <v>37</v>
      </c>
      <c r="K11">
        <v>1902</v>
      </c>
      <c r="L11" t="s">
        <v>19</v>
      </c>
      <c r="M11" t="s">
        <v>50</v>
      </c>
      <c r="N11" t="s">
        <v>20</v>
      </c>
      <c r="O11">
        <v>15</v>
      </c>
      <c r="P11" t="s">
        <v>52</v>
      </c>
      <c r="Q11" t="s">
        <v>22</v>
      </c>
    </row>
    <row r="12" spans="1:18" x14ac:dyDescent="0.2">
      <c r="A12">
        <v>49</v>
      </c>
      <c r="B12">
        <v>1902</v>
      </c>
      <c r="C12" t="s">
        <v>80</v>
      </c>
      <c r="D12" t="s">
        <v>16</v>
      </c>
      <c r="E12" s="4">
        <v>40620</v>
      </c>
      <c r="F12" t="s">
        <v>62</v>
      </c>
      <c r="G12" t="s">
        <v>33</v>
      </c>
      <c r="H12">
        <v>1</v>
      </c>
      <c r="I12" t="s">
        <v>18</v>
      </c>
      <c r="J12" t="s">
        <v>37</v>
      </c>
      <c r="K12">
        <v>1902</v>
      </c>
      <c r="L12" t="s">
        <v>18</v>
      </c>
      <c r="M12" t="s">
        <v>50</v>
      </c>
      <c r="N12" t="s">
        <v>34</v>
      </c>
      <c r="O12">
        <v>5</v>
      </c>
      <c r="P12" t="s">
        <v>52</v>
      </c>
      <c r="Q12" t="s">
        <v>22</v>
      </c>
    </row>
    <row r="13" spans="1:18" x14ac:dyDescent="0.2">
      <c r="A13">
        <v>50</v>
      </c>
      <c r="B13">
        <v>1902</v>
      </c>
      <c r="C13" t="s">
        <v>80</v>
      </c>
      <c r="D13" t="s">
        <v>16</v>
      </c>
      <c r="E13" s="4">
        <v>40620</v>
      </c>
      <c r="F13" t="s">
        <v>62</v>
      </c>
      <c r="G13" t="s">
        <v>33</v>
      </c>
      <c r="H13">
        <v>2</v>
      </c>
      <c r="I13" t="s">
        <v>12</v>
      </c>
      <c r="J13" t="s">
        <v>37</v>
      </c>
      <c r="K13">
        <v>1902</v>
      </c>
      <c r="L13" t="s">
        <v>19</v>
      </c>
      <c r="M13" t="s">
        <v>50</v>
      </c>
      <c r="N13" t="s">
        <v>20</v>
      </c>
      <c r="O13">
        <v>5</v>
      </c>
      <c r="P13" t="s">
        <v>52</v>
      </c>
      <c r="Q13" t="s">
        <v>22</v>
      </c>
    </row>
    <row r="14" spans="1:18" x14ac:dyDescent="0.2">
      <c r="A14">
        <v>1</v>
      </c>
      <c r="B14" t="s">
        <v>55</v>
      </c>
      <c r="C14" t="s">
        <v>79</v>
      </c>
      <c r="D14" t="s">
        <v>11</v>
      </c>
      <c r="E14" s="4">
        <v>38286</v>
      </c>
      <c r="F14"/>
      <c r="G14" t="s">
        <v>9</v>
      </c>
      <c r="H14">
        <v>1</v>
      </c>
      <c r="I14" t="s">
        <v>12</v>
      </c>
      <c r="J14" t="s">
        <v>48</v>
      </c>
      <c r="K14">
        <v>3379</v>
      </c>
      <c r="L14" t="s">
        <v>19</v>
      </c>
      <c r="M14" t="s">
        <v>49</v>
      </c>
      <c r="N14" t="s">
        <v>14</v>
      </c>
      <c r="O14">
        <v>15</v>
      </c>
      <c r="P14" t="s">
        <v>52</v>
      </c>
      <c r="Q14" t="s">
        <v>29</v>
      </c>
    </row>
    <row r="15" spans="1:18" x14ac:dyDescent="0.2">
      <c r="A15">
        <v>39</v>
      </c>
      <c r="B15" t="s">
        <v>55</v>
      </c>
      <c r="C15" t="s">
        <v>79</v>
      </c>
      <c r="D15" t="s">
        <v>11</v>
      </c>
      <c r="E15" s="4">
        <v>40597</v>
      </c>
      <c r="F15" t="s">
        <v>62</v>
      </c>
      <c r="G15" t="s">
        <v>9</v>
      </c>
      <c r="H15">
        <v>1</v>
      </c>
      <c r="I15" t="s">
        <v>12</v>
      </c>
      <c r="J15" t="s">
        <v>48</v>
      </c>
      <c r="K15">
        <v>3379</v>
      </c>
      <c r="L15" t="s">
        <v>19</v>
      </c>
      <c r="M15" t="s">
        <v>49</v>
      </c>
      <c r="N15" t="s">
        <v>14</v>
      </c>
      <c r="O15">
        <v>5</v>
      </c>
      <c r="P15" t="s">
        <v>52</v>
      </c>
      <c r="Q15" t="s">
        <v>29</v>
      </c>
    </row>
    <row r="16" spans="1:18" x14ac:dyDescent="0.2">
      <c r="A16">
        <v>16</v>
      </c>
      <c r="B16" t="s">
        <v>56</v>
      </c>
      <c r="C16" t="s">
        <v>79</v>
      </c>
      <c r="D16" t="s">
        <v>11</v>
      </c>
      <c r="E16" s="4">
        <v>39863</v>
      </c>
      <c r="F16"/>
      <c r="G16" t="s">
        <v>47</v>
      </c>
      <c r="H16">
        <v>1</v>
      </c>
      <c r="I16" t="s">
        <v>12</v>
      </c>
      <c r="J16" t="s">
        <v>48</v>
      </c>
      <c r="K16">
        <v>3392</v>
      </c>
      <c r="L16" t="s">
        <v>19</v>
      </c>
      <c r="M16" t="s">
        <v>49</v>
      </c>
      <c r="N16" t="s">
        <v>14</v>
      </c>
      <c r="O16">
        <v>15</v>
      </c>
      <c r="P16" t="s">
        <v>52</v>
      </c>
      <c r="Q16" t="s">
        <v>22</v>
      </c>
    </row>
    <row r="17" spans="1:18" x14ac:dyDescent="0.2">
      <c r="A17">
        <v>66</v>
      </c>
      <c r="B17" t="s">
        <v>56</v>
      </c>
      <c r="C17" t="s">
        <v>79</v>
      </c>
      <c r="D17" t="s">
        <v>11</v>
      </c>
      <c r="E17" s="4">
        <v>40620</v>
      </c>
      <c r="F17" t="s">
        <v>63</v>
      </c>
      <c r="G17" t="s">
        <v>47</v>
      </c>
      <c r="H17">
        <v>1</v>
      </c>
      <c r="I17" t="s">
        <v>12</v>
      </c>
      <c r="J17" t="s">
        <v>48</v>
      </c>
      <c r="K17">
        <v>3392</v>
      </c>
      <c r="L17" t="s">
        <v>19</v>
      </c>
      <c r="M17" t="s">
        <v>49</v>
      </c>
      <c r="N17" t="s">
        <v>14</v>
      </c>
      <c r="O17">
        <v>5</v>
      </c>
      <c r="P17" t="s">
        <v>52</v>
      </c>
      <c r="Q17" t="s">
        <v>22</v>
      </c>
    </row>
    <row r="18" spans="1:18" x14ac:dyDescent="0.2">
      <c r="A18">
        <v>2</v>
      </c>
      <c r="B18">
        <v>21914</v>
      </c>
      <c r="C18" t="s">
        <v>79</v>
      </c>
      <c r="D18" t="s">
        <v>36</v>
      </c>
      <c r="E18" s="4">
        <v>38412</v>
      </c>
      <c r="F18"/>
      <c r="G18" t="s">
        <v>9</v>
      </c>
      <c r="H18">
        <v>1</v>
      </c>
      <c r="I18" t="s">
        <v>12</v>
      </c>
      <c r="J18" t="s">
        <v>41</v>
      </c>
      <c r="K18">
        <v>21914</v>
      </c>
      <c r="L18" t="s">
        <v>19</v>
      </c>
      <c r="M18" t="s">
        <v>49</v>
      </c>
      <c r="N18" t="s">
        <v>20</v>
      </c>
      <c r="O18">
        <v>15</v>
      </c>
      <c r="P18" t="s">
        <v>52</v>
      </c>
      <c r="Q18" t="s">
        <v>46</v>
      </c>
      <c r="R18" t="s">
        <v>58</v>
      </c>
    </row>
    <row r="19" spans="1:18" x14ac:dyDescent="0.2">
      <c r="A19">
        <v>7</v>
      </c>
      <c r="B19">
        <v>21914</v>
      </c>
      <c r="C19" t="s">
        <v>79</v>
      </c>
      <c r="D19" t="s">
        <v>36</v>
      </c>
      <c r="E19" s="4">
        <v>39861</v>
      </c>
      <c r="F19"/>
      <c r="G19" t="s">
        <v>43</v>
      </c>
      <c r="H19">
        <v>1</v>
      </c>
      <c r="I19" t="s">
        <v>12</v>
      </c>
      <c r="J19" t="s">
        <v>41</v>
      </c>
      <c r="K19">
        <v>21914</v>
      </c>
      <c r="L19" t="s">
        <v>19</v>
      </c>
      <c r="M19" t="s">
        <v>53</v>
      </c>
      <c r="N19" t="s">
        <v>20</v>
      </c>
      <c r="O19">
        <v>15</v>
      </c>
      <c r="P19" t="s">
        <v>52</v>
      </c>
      <c r="Q19" t="s">
        <v>22</v>
      </c>
    </row>
    <row r="20" spans="1:18" x14ac:dyDescent="0.2">
      <c r="A20">
        <v>8</v>
      </c>
      <c r="B20">
        <v>21914</v>
      </c>
      <c r="C20" t="s">
        <v>79</v>
      </c>
      <c r="D20" t="s">
        <v>36</v>
      </c>
      <c r="E20" s="4">
        <v>39861</v>
      </c>
      <c r="F20"/>
      <c r="G20" t="s">
        <v>43</v>
      </c>
      <c r="H20">
        <v>2</v>
      </c>
      <c r="I20" t="s">
        <v>12</v>
      </c>
      <c r="J20" t="s">
        <v>41</v>
      </c>
      <c r="K20">
        <v>21914</v>
      </c>
      <c r="L20" t="s">
        <v>19</v>
      </c>
      <c r="M20" t="s">
        <v>49</v>
      </c>
      <c r="N20" t="s">
        <v>20</v>
      </c>
      <c r="O20">
        <v>15</v>
      </c>
      <c r="P20" t="s">
        <v>52</v>
      </c>
      <c r="Q20" t="s">
        <v>22</v>
      </c>
    </row>
    <row r="21" spans="1:18" x14ac:dyDescent="0.2">
      <c r="A21">
        <v>9</v>
      </c>
      <c r="B21">
        <v>21914</v>
      </c>
      <c r="C21" t="s">
        <v>79</v>
      </c>
      <c r="D21" t="s">
        <v>36</v>
      </c>
      <c r="E21" s="4">
        <v>39861</v>
      </c>
      <c r="F21"/>
      <c r="G21" t="s">
        <v>43</v>
      </c>
      <c r="H21">
        <v>3</v>
      </c>
      <c r="I21" t="s">
        <v>12</v>
      </c>
      <c r="J21" t="s">
        <v>41</v>
      </c>
      <c r="K21">
        <v>21914</v>
      </c>
      <c r="L21" t="s">
        <v>19</v>
      </c>
      <c r="M21" t="s">
        <v>54</v>
      </c>
      <c r="N21" t="s">
        <v>20</v>
      </c>
      <c r="O21">
        <v>15</v>
      </c>
      <c r="P21" t="s">
        <v>52</v>
      </c>
      <c r="Q21" t="s">
        <v>22</v>
      </c>
    </row>
    <row r="22" spans="1:18" x14ac:dyDescent="0.2">
      <c r="A22">
        <v>23</v>
      </c>
      <c r="B22">
        <v>21914</v>
      </c>
      <c r="C22" t="s">
        <v>79</v>
      </c>
      <c r="D22" t="s">
        <v>36</v>
      </c>
      <c r="E22" s="4">
        <v>40259</v>
      </c>
      <c r="F22"/>
      <c r="G22" t="s">
        <v>45</v>
      </c>
      <c r="H22">
        <v>1</v>
      </c>
      <c r="I22" t="s">
        <v>12</v>
      </c>
      <c r="J22" t="s">
        <v>41</v>
      </c>
      <c r="K22">
        <v>21914</v>
      </c>
      <c r="L22" t="s">
        <v>19</v>
      </c>
      <c r="M22" t="s">
        <v>53</v>
      </c>
      <c r="N22" t="s">
        <v>20</v>
      </c>
      <c r="O22">
        <v>15</v>
      </c>
      <c r="P22" t="s">
        <v>52</v>
      </c>
      <c r="Q22" t="s">
        <v>22</v>
      </c>
    </row>
    <row r="23" spans="1:18" x14ac:dyDescent="0.2">
      <c r="A23">
        <v>24</v>
      </c>
      <c r="B23">
        <v>21914</v>
      </c>
      <c r="C23" t="s">
        <v>79</v>
      </c>
      <c r="D23" t="s">
        <v>36</v>
      </c>
      <c r="E23" s="4">
        <v>40259</v>
      </c>
      <c r="F23"/>
      <c r="G23" t="s">
        <v>45</v>
      </c>
      <c r="H23">
        <v>2</v>
      </c>
      <c r="I23" t="s">
        <v>12</v>
      </c>
      <c r="J23" t="s">
        <v>41</v>
      </c>
      <c r="K23">
        <v>21914</v>
      </c>
      <c r="L23" t="s">
        <v>19</v>
      </c>
      <c r="M23" t="s">
        <v>49</v>
      </c>
      <c r="N23" t="s">
        <v>20</v>
      </c>
      <c r="O23">
        <v>15</v>
      </c>
      <c r="P23" t="s">
        <v>52</v>
      </c>
      <c r="Q23" t="s">
        <v>22</v>
      </c>
    </row>
    <row r="24" spans="1:18" x14ac:dyDescent="0.2">
      <c r="A24">
        <v>25</v>
      </c>
      <c r="B24">
        <v>21914</v>
      </c>
      <c r="C24" t="s">
        <v>79</v>
      </c>
      <c r="D24" t="s">
        <v>36</v>
      </c>
      <c r="E24" s="4">
        <v>40259</v>
      </c>
      <c r="F24"/>
      <c r="G24" t="s">
        <v>45</v>
      </c>
      <c r="H24">
        <v>3</v>
      </c>
      <c r="I24" t="s">
        <v>12</v>
      </c>
      <c r="J24" t="s">
        <v>41</v>
      </c>
      <c r="K24">
        <v>21914</v>
      </c>
      <c r="L24" t="s">
        <v>19</v>
      </c>
      <c r="M24" t="s">
        <v>54</v>
      </c>
      <c r="N24" t="s">
        <v>20</v>
      </c>
      <c r="O24">
        <v>15</v>
      </c>
      <c r="P24" t="s">
        <v>52</v>
      </c>
      <c r="Q24" t="s">
        <v>22</v>
      </c>
    </row>
    <row r="25" spans="1:18" x14ac:dyDescent="0.2">
      <c r="A25">
        <v>51</v>
      </c>
      <c r="B25">
        <v>21914</v>
      </c>
      <c r="C25" t="s">
        <v>79</v>
      </c>
      <c r="D25" t="s">
        <v>36</v>
      </c>
      <c r="E25" s="4">
        <v>40620</v>
      </c>
      <c r="F25" t="s">
        <v>63</v>
      </c>
      <c r="G25" t="s">
        <v>45</v>
      </c>
      <c r="H25">
        <v>1</v>
      </c>
      <c r="I25" t="s">
        <v>12</v>
      </c>
      <c r="J25" t="s">
        <v>41</v>
      </c>
      <c r="K25">
        <v>21914</v>
      </c>
      <c r="L25" t="s">
        <v>19</v>
      </c>
      <c r="M25" t="s">
        <v>53</v>
      </c>
      <c r="N25" t="s">
        <v>20</v>
      </c>
      <c r="O25">
        <v>5</v>
      </c>
      <c r="P25" t="s">
        <v>52</v>
      </c>
      <c r="Q25" t="s">
        <v>22</v>
      </c>
    </row>
    <row r="26" spans="1:18" x14ac:dyDescent="0.2">
      <c r="A26">
        <v>52</v>
      </c>
      <c r="B26">
        <v>21914</v>
      </c>
      <c r="C26" t="s">
        <v>79</v>
      </c>
      <c r="D26" t="s">
        <v>36</v>
      </c>
      <c r="E26" s="4">
        <v>40620</v>
      </c>
      <c r="F26" t="s">
        <v>63</v>
      </c>
      <c r="G26" t="s">
        <v>45</v>
      </c>
      <c r="H26">
        <v>2</v>
      </c>
      <c r="I26" t="s">
        <v>12</v>
      </c>
      <c r="J26" t="s">
        <v>41</v>
      </c>
      <c r="K26">
        <v>21914</v>
      </c>
      <c r="L26" t="s">
        <v>19</v>
      </c>
      <c r="M26" t="s">
        <v>49</v>
      </c>
      <c r="N26" t="s">
        <v>20</v>
      </c>
      <c r="O26">
        <v>5</v>
      </c>
      <c r="P26" t="s">
        <v>52</v>
      </c>
      <c r="Q26" t="s">
        <v>22</v>
      </c>
    </row>
    <row r="27" spans="1:18" x14ac:dyDescent="0.2">
      <c r="A27">
        <v>53</v>
      </c>
      <c r="B27">
        <v>21914</v>
      </c>
      <c r="C27" t="s">
        <v>79</v>
      </c>
      <c r="D27" t="s">
        <v>36</v>
      </c>
      <c r="E27" s="4">
        <v>40620</v>
      </c>
      <c r="F27" t="s">
        <v>63</v>
      </c>
      <c r="G27" t="s">
        <v>45</v>
      </c>
      <c r="H27">
        <v>3</v>
      </c>
      <c r="I27" t="s">
        <v>12</v>
      </c>
      <c r="J27" t="s">
        <v>41</v>
      </c>
      <c r="K27">
        <v>21914</v>
      </c>
      <c r="L27" t="s">
        <v>19</v>
      </c>
      <c r="M27" t="s">
        <v>54</v>
      </c>
      <c r="N27" t="s">
        <v>20</v>
      </c>
      <c r="O27">
        <v>5</v>
      </c>
      <c r="P27" t="s">
        <v>52</v>
      </c>
      <c r="Q27" t="s">
        <v>22</v>
      </c>
    </row>
    <row r="28" spans="1:18" x14ac:dyDescent="0.2">
      <c r="A28">
        <v>13</v>
      </c>
      <c r="B28">
        <v>22071</v>
      </c>
      <c r="C28" t="s">
        <v>79</v>
      </c>
      <c r="D28" t="s">
        <v>36</v>
      </c>
      <c r="E28" s="4">
        <v>39863</v>
      </c>
      <c r="F28"/>
      <c r="G28" t="s">
        <v>42</v>
      </c>
      <c r="H28">
        <v>1</v>
      </c>
      <c r="I28" t="s">
        <v>12</v>
      </c>
      <c r="J28" t="s">
        <v>41</v>
      </c>
      <c r="K28">
        <v>22071</v>
      </c>
      <c r="L28" t="s">
        <v>19</v>
      </c>
      <c r="M28" t="s">
        <v>53</v>
      </c>
      <c r="N28" t="s">
        <v>20</v>
      </c>
      <c r="O28">
        <v>15</v>
      </c>
      <c r="P28" t="s">
        <v>52</v>
      </c>
      <c r="Q28" t="s">
        <v>22</v>
      </c>
    </row>
    <row r="29" spans="1:18" x14ac:dyDescent="0.2">
      <c r="A29">
        <v>14</v>
      </c>
      <c r="B29">
        <v>22071</v>
      </c>
      <c r="C29" t="s">
        <v>79</v>
      </c>
      <c r="D29" t="s">
        <v>36</v>
      </c>
      <c r="E29" s="4">
        <v>39863</v>
      </c>
      <c r="F29"/>
      <c r="G29" t="s">
        <v>42</v>
      </c>
      <c r="H29">
        <v>2</v>
      </c>
      <c r="I29" t="s">
        <v>12</v>
      </c>
      <c r="J29" t="s">
        <v>41</v>
      </c>
      <c r="K29">
        <v>22071</v>
      </c>
      <c r="L29" t="s">
        <v>19</v>
      </c>
      <c r="M29" t="s">
        <v>49</v>
      </c>
      <c r="N29" t="s">
        <v>20</v>
      </c>
      <c r="O29">
        <v>15</v>
      </c>
      <c r="P29" t="s">
        <v>52</v>
      </c>
      <c r="Q29" t="s">
        <v>22</v>
      </c>
    </row>
    <row r="30" spans="1:18" x14ac:dyDescent="0.2">
      <c r="A30">
        <v>15</v>
      </c>
      <c r="B30">
        <v>22071</v>
      </c>
      <c r="C30" t="s">
        <v>79</v>
      </c>
      <c r="D30" t="s">
        <v>36</v>
      </c>
      <c r="E30" s="4">
        <v>39863</v>
      </c>
      <c r="F30"/>
      <c r="G30" t="s">
        <v>42</v>
      </c>
      <c r="H30">
        <v>3</v>
      </c>
      <c r="I30" t="s">
        <v>12</v>
      </c>
      <c r="J30" t="s">
        <v>41</v>
      </c>
      <c r="K30">
        <v>22071</v>
      </c>
      <c r="L30" t="s">
        <v>19</v>
      </c>
      <c r="M30" t="s">
        <v>54</v>
      </c>
      <c r="N30" t="s">
        <v>20</v>
      </c>
      <c r="O30">
        <v>15</v>
      </c>
      <c r="P30" t="s">
        <v>52</v>
      </c>
      <c r="Q30" t="s">
        <v>22</v>
      </c>
    </row>
    <row r="31" spans="1:18" x14ac:dyDescent="0.2">
      <c r="A31">
        <v>54</v>
      </c>
      <c r="B31">
        <v>22071</v>
      </c>
      <c r="C31" t="s">
        <v>79</v>
      </c>
      <c r="D31" t="s">
        <v>36</v>
      </c>
      <c r="E31" s="4">
        <v>40620</v>
      </c>
      <c r="F31" t="s">
        <v>63</v>
      </c>
      <c r="G31" t="s">
        <v>42</v>
      </c>
      <c r="H31">
        <v>1</v>
      </c>
      <c r="I31" t="s">
        <v>12</v>
      </c>
      <c r="J31" t="s">
        <v>41</v>
      </c>
      <c r="K31">
        <v>22071</v>
      </c>
      <c r="L31" t="s">
        <v>19</v>
      </c>
      <c r="M31" t="s">
        <v>53</v>
      </c>
      <c r="N31" t="s">
        <v>20</v>
      </c>
      <c r="O31">
        <v>5</v>
      </c>
      <c r="P31" t="s">
        <v>52</v>
      </c>
      <c r="Q31" t="s">
        <v>22</v>
      </c>
    </row>
    <row r="32" spans="1:18" x14ac:dyDescent="0.2">
      <c r="A32">
        <v>55</v>
      </c>
      <c r="B32">
        <v>22071</v>
      </c>
      <c r="C32" t="s">
        <v>79</v>
      </c>
      <c r="D32" t="s">
        <v>36</v>
      </c>
      <c r="E32" s="4">
        <v>40620</v>
      </c>
      <c r="F32" t="s">
        <v>63</v>
      </c>
      <c r="G32" t="s">
        <v>42</v>
      </c>
      <c r="H32">
        <v>2</v>
      </c>
      <c r="I32" t="s">
        <v>12</v>
      </c>
      <c r="J32" t="s">
        <v>41</v>
      </c>
      <c r="K32">
        <v>22071</v>
      </c>
      <c r="L32" t="s">
        <v>19</v>
      </c>
      <c r="M32" t="s">
        <v>49</v>
      </c>
      <c r="N32" t="s">
        <v>20</v>
      </c>
      <c r="O32">
        <v>5</v>
      </c>
      <c r="P32" t="s">
        <v>52</v>
      </c>
      <c r="Q32" t="s">
        <v>22</v>
      </c>
    </row>
    <row r="33" spans="1:17" x14ac:dyDescent="0.2">
      <c r="A33">
        <v>56</v>
      </c>
      <c r="B33">
        <v>22071</v>
      </c>
      <c r="C33" t="s">
        <v>79</v>
      </c>
      <c r="D33" t="s">
        <v>36</v>
      </c>
      <c r="E33" s="4">
        <v>40620</v>
      </c>
      <c r="F33" t="s">
        <v>63</v>
      </c>
      <c r="G33" t="s">
        <v>42</v>
      </c>
      <c r="H33">
        <v>3</v>
      </c>
      <c r="I33" t="s">
        <v>12</v>
      </c>
      <c r="J33" t="s">
        <v>41</v>
      </c>
      <c r="K33">
        <v>22071</v>
      </c>
      <c r="L33" t="s">
        <v>19</v>
      </c>
      <c r="M33" t="s">
        <v>54</v>
      </c>
      <c r="N33" t="s">
        <v>20</v>
      </c>
      <c r="O33">
        <v>5</v>
      </c>
      <c r="P33" t="s">
        <v>52</v>
      </c>
      <c r="Q33" t="s">
        <v>22</v>
      </c>
    </row>
    <row r="34" spans="1:17" x14ac:dyDescent="0.2">
      <c r="A34">
        <v>10</v>
      </c>
      <c r="B34">
        <v>22095</v>
      </c>
      <c r="C34" t="s">
        <v>79</v>
      </c>
      <c r="D34" t="s">
        <v>36</v>
      </c>
      <c r="E34" s="4">
        <v>39861</v>
      </c>
      <c r="F34"/>
      <c r="G34" t="s">
        <v>33</v>
      </c>
      <c r="H34">
        <v>1</v>
      </c>
      <c r="I34" t="s">
        <v>12</v>
      </c>
      <c r="J34" t="s">
        <v>41</v>
      </c>
      <c r="K34">
        <v>22095</v>
      </c>
      <c r="L34" t="s">
        <v>19</v>
      </c>
      <c r="M34" t="s">
        <v>53</v>
      </c>
      <c r="N34" t="s">
        <v>14</v>
      </c>
      <c r="O34">
        <v>15</v>
      </c>
      <c r="P34" t="s">
        <v>52</v>
      </c>
      <c r="Q34" t="s">
        <v>22</v>
      </c>
    </row>
    <row r="35" spans="1:17" x14ac:dyDescent="0.2">
      <c r="A35">
        <v>11</v>
      </c>
      <c r="B35">
        <v>22095</v>
      </c>
      <c r="C35" t="s">
        <v>79</v>
      </c>
      <c r="D35" t="s">
        <v>36</v>
      </c>
      <c r="E35" s="4">
        <v>39861</v>
      </c>
      <c r="F35"/>
      <c r="G35" t="s">
        <v>33</v>
      </c>
      <c r="H35">
        <v>2</v>
      </c>
      <c r="I35" t="s">
        <v>12</v>
      </c>
      <c r="J35" t="s">
        <v>41</v>
      </c>
      <c r="K35">
        <v>22095</v>
      </c>
      <c r="L35" t="s">
        <v>19</v>
      </c>
      <c r="M35" t="s">
        <v>49</v>
      </c>
      <c r="N35" t="s">
        <v>14</v>
      </c>
      <c r="O35">
        <v>15</v>
      </c>
      <c r="P35" t="s">
        <v>52</v>
      </c>
      <c r="Q35" t="s">
        <v>22</v>
      </c>
    </row>
    <row r="36" spans="1:17" x14ac:dyDescent="0.2">
      <c r="A36">
        <v>12</v>
      </c>
      <c r="B36">
        <v>22095</v>
      </c>
      <c r="C36" t="s">
        <v>79</v>
      </c>
      <c r="D36" t="s">
        <v>36</v>
      </c>
      <c r="E36" s="4">
        <v>39861</v>
      </c>
      <c r="F36"/>
      <c r="G36" t="s">
        <v>33</v>
      </c>
      <c r="H36">
        <v>3</v>
      </c>
      <c r="I36" t="s">
        <v>12</v>
      </c>
      <c r="J36" t="s">
        <v>41</v>
      </c>
      <c r="K36">
        <v>22095</v>
      </c>
      <c r="L36" t="s">
        <v>19</v>
      </c>
      <c r="M36" t="s">
        <v>54</v>
      </c>
      <c r="N36" t="s">
        <v>14</v>
      </c>
      <c r="O36">
        <v>15</v>
      </c>
      <c r="P36" t="s">
        <v>52</v>
      </c>
      <c r="Q36" t="s">
        <v>22</v>
      </c>
    </row>
    <row r="37" spans="1:17" x14ac:dyDescent="0.2">
      <c r="A37">
        <v>26</v>
      </c>
      <c r="B37">
        <v>22095</v>
      </c>
      <c r="C37" t="s">
        <v>79</v>
      </c>
      <c r="D37" t="s">
        <v>36</v>
      </c>
      <c r="E37" s="4">
        <v>40270</v>
      </c>
      <c r="F37"/>
      <c r="G37" t="s">
        <v>43</v>
      </c>
      <c r="H37">
        <v>1</v>
      </c>
      <c r="I37" t="s">
        <v>12</v>
      </c>
      <c r="J37" t="s">
        <v>41</v>
      </c>
      <c r="K37">
        <v>22095</v>
      </c>
      <c r="L37" t="s">
        <v>19</v>
      </c>
      <c r="M37" t="s">
        <v>53</v>
      </c>
      <c r="N37" t="s">
        <v>14</v>
      </c>
      <c r="O37">
        <v>15</v>
      </c>
      <c r="P37" t="s">
        <v>52</v>
      </c>
      <c r="Q37" t="s">
        <v>22</v>
      </c>
    </row>
    <row r="38" spans="1:17" x14ac:dyDescent="0.2">
      <c r="A38">
        <v>27</v>
      </c>
      <c r="B38">
        <v>22095</v>
      </c>
      <c r="C38" t="s">
        <v>79</v>
      </c>
      <c r="D38" t="s">
        <v>36</v>
      </c>
      <c r="E38" s="4">
        <v>40270</v>
      </c>
      <c r="F38"/>
      <c r="G38" t="s">
        <v>43</v>
      </c>
      <c r="H38">
        <v>2</v>
      </c>
      <c r="I38" t="s">
        <v>12</v>
      </c>
      <c r="J38" t="s">
        <v>41</v>
      </c>
      <c r="K38">
        <v>22095</v>
      </c>
      <c r="L38" t="s">
        <v>19</v>
      </c>
      <c r="M38" t="s">
        <v>49</v>
      </c>
      <c r="N38" t="s">
        <v>14</v>
      </c>
      <c r="O38">
        <v>15</v>
      </c>
      <c r="P38" t="s">
        <v>52</v>
      </c>
      <c r="Q38" t="s">
        <v>22</v>
      </c>
    </row>
    <row r="39" spans="1:17" x14ac:dyDescent="0.2">
      <c r="A39">
        <v>28</v>
      </c>
      <c r="B39">
        <v>22095</v>
      </c>
      <c r="C39" t="s">
        <v>79</v>
      </c>
      <c r="D39" t="s">
        <v>36</v>
      </c>
      <c r="E39" s="4">
        <v>40270</v>
      </c>
      <c r="F39"/>
      <c r="G39" t="s">
        <v>43</v>
      </c>
      <c r="H39">
        <v>3</v>
      </c>
      <c r="I39" t="s">
        <v>12</v>
      </c>
      <c r="J39" t="s">
        <v>41</v>
      </c>
      <c r="K39">
        <v>22095</v>
      </c>
      <c r="L39" t="s">
        <v>19</v>
      </c>
      <c r="M39" t="s">
        <v>54</v>
      </c>
      <c r="N39" t="s">
        <v>14</v>
      </c>
      <c r="O39">
        <v>15</v>
      </c>
      <c r="P39" t="s">
        <v>52</v>
      </c>
      <c r="Q39" t="s">
        <v>22</v>
      </c>
    </row>
    <row r="40" spans="1:17" x14ac:dyDescent="0.2">
      <c r="A40">
        <v>58</v>
      </c>
      <c r="B40">
        <v>22095</v>
      </c>
      <c r="C40" t="s">
        <v>79</v>
      </c>
      <c r="D40" t="s">
        <v>36</v>
      </c>
      <c r="E40" s="4">
        <v>40620</v>
      </c>
      <c r="F40" t="s">
        <v>63</v>
      </c>
      <c r="G40" t="s">
        <v>43</v>
      </c>
      <c r="H40">
        <v>1</v>
      </c>
      <c r="I40" t="s">
        <v>12</v>
      </c>
      <c r="J40" t="s">
        <v>41</v>
      </c>
      <c r="K40">
        <v>22095</v>
      </c>
      <c r="L40" t="s">
        <v>19</v>
      </c>
      <c r="M40" t="s">
        <v>53</v>
      </c>
      <c r="N40" t="s">
        <v>14</v>
      </c>
      <c r="O40">
        <v>5</v>
      </c>
      <c r="P40" t="s">
        <v>52</v>
      </c>
      <c r="Q40" t="s">
        <v>22</v>
      </c>
    </row>
    <row r="41" spans="1:17" x14ac:dyDescent="0.2">
      <c r="A41">
        <v>60</v>
      </c>
      <c r="B41">
        <v>22095</v>
      </c>
      <c r="C41" t="s">
        <v>79</v>
      </c>
      <c r="D41" t="s">
        <v>36</v>
      </c>
      <c r="E41" s="4">
        <v>40620</v>
      </c>
      <c r="F41" t="s">
        <v>63</v>
      </c>
      <c r="G41" t="s">
        <v>43</v>
      </c>
      <c r="H41">
        <v>2</v>
      </c>
      <c r="I41" t="s">
        <v>12</v>
      </c>
      <c r="J41" t="s">
        <v>41</v>
      </c>
      <c r="K41">
        <v>22095</v>
      </c>
      <c r="L41" t="s">
        <v>19</v>
      </c>
      <c r="M41" t="s">
        <v>49</v>
      </c>
      <c r="N41" t="s">
        <v>14</v>
      </c>
      <c r="O41">
        <v>5</v>
      </c>
      <c r="P41" t="s">
        <v>52</v>
      </c>
      <c r="Q41" t="s">
        <v>22</v>
      </c>
    </row>
    <row r="42" spans="1:17" x14ac:dyDescent="0.2">
      <c r="A42">
        <v>62</v>
      </c>
      <c r="B42">
        <v>22095</v>
      </c>
      <c r="C42" t="s">
        <v>79</v>
      </c>
      <c r="D42" t="s">
        <v>36</v>
      </c>
      <c r="E42" s="4">
        <v>40620</v>
      </c>
      <c r="F42" t="s">
        <v>63</v>
      </c>
      <c r="G42" t="s">
        <v>43</v>
      </c>
      <c r="H42">
        <v>3</v>
      </c>
      <c r="I42" t="s">
        <v>12</v>
      </c>
      <c r="J42" t="s">
        <v>41</v>
      </c>
      <c r="K42">
        <v>22095</v>
      </c>
      <c r="L42" t="s">
        <v>19</v>
      </c>
      <c r="M42" t="s">
        <v>54</v>
      </c>
      <c r="N42" t="s">
        <v>14</v>
      </c>
      <c r="O42">
        <v>5</v>
      </c>
      <c r="P42" t="s">
        <v>52</v>
      </c>
      <c r="Q42" t="s">
        <v>22</v>
      </c>
    </row>
    <row r="43" spans="1:17" x14ac:dyDescent="0.2">
      <c r="A43">
        <v>33</v>
      </c>
      <c r="B43">
        <v>22099</v>
      </c>
      <c r="C43" t="s">
        <v>79</v>
      </c>
      <c r="D43" t="s">
        <v>36</v>
      </c>
      <c r="E43" s="4">
        <v>40366</v>
      </c>
      <c r="F43"/>
      <c r="G43" t="s">
        <v>44</v>
      </c>
      <c r="H43">
        <v>1</v>
      </c>
      <c r="I43" t="s">
        <v>12</v>
      </c>
      <c r="J43" t="s">
        <v>41</v>
      </c>
      <c r="K43">
        <v>22099</v>
      </c>
      <c r="L43" t="s">
        <v>19</v>
      </c>
      <c r="M43" t="s">
        <v>53</v>
      </c>
      <c r="N43" t="s">
        <v>20</v>
      </c>
      <c r="O43">
        <v>15</v>
      </c>
      <c r="P43" t="s">
        <v>52</v>
      </c>
      <c r="Q43" t="s">
        <v>22</v>
      </c>
    </row>
    <row r="44" spans="1:17" x14ac:dyDescent="0.2">
      <c r="A44">
        <v>34</v>
      </c>
      <c r="B44">
        <v>22099</v>
      </c>
      <c r="C44" t="s">
        <v>79</v>
      </c>
      <c r="D44" t="s">
        <v>36</v>
      </c>
      <c r="E44" s="4">
        <v>40366</v>
      </c>
      <c r="F44"/>
      <c r="G44" t="s">
        <v>44</v>
      </c>
      <c r="H44">
        <v>2</v>
      </c>
      <c r="I44" t="s">
        <v>12</v>
      </c>
      <c r="J44" t="s">
        <v>41</v>
      </c>
      <c r="K44">
        <v>22099</v>
      </c>
      <c r="L44" t="s">
        <v>19</v>
      </c>
      <c r="M44" t="s">
        <v>49</v>
      </c>
      <c r="N44" t="s">
        <v>20</v>
      </c>
      <c r="O44">
        <v>15</v>
      </c>
      <c r="P44" t="s">
        <v>52</v>
      </c>
      <c r="Q44" t="s">
        <v>22</v>
      </c>
    </row>
    <row r="45" spans="1:17" x14ac:dyDescent="0.2">
      <c r="A45">
        <v>35</v>
      </c>
      <c r="B45">
        <v>22099</v>
      </c>
      <c r="C45" t="s">
        <v>79</v>
      </c>
      <c r="D45" t="s">
        <v>36</v>
      </c>
      <c r="E45" s="4">
        <v>40366</v>
      </c>
      <c r="F45"/>
      <c r="G45" t="s">
        <v>44</v>
      </c>
      <c r="H45">
        <v>3</v>
      </c>
      <c r="I45" t="s">
        <v>12</v>
      </c>
      <c r="J45" t="s">
        <v>41</v>
      </c>
      <c r="K45">
        <v>22099</v>
      </c>
      <c r="L45" t="s">
        <v>19</v>
      </c>
      <c r="M45" t="s">
        <v>54</v>
      </c>
      <c r="N45" t="s">
        <v>20</v>
      </c>
      <c r="O45">
        <v>15</v>
      </c>
      <c r="P45" t="s">
        <v>52</v>
      </c>
      <c r="Q45" t="s">
        <v>22</v>
      </c>
    </row>
    <row r="46" spans="1:17" x14ac:dyDescent="0.2">
      <c r="A46">
        <v>63</v>
      </c>
      <c r="B46">
        <v>22099</v>
      </c>
      <c r="C46" t="s">
        <v>79</v>
      </c>
      <c r="D46" t="s">
        <v>36</v>
      </c>
      <c r="E46" s="4">
        <v>40620</v>
      </c>
      <c r="F46" t="s">
        <v>63</v>
      </c>
      <c r="G46" t="s">
        <v>44</v>
      </c>
      <c r="H46">
        <v>1</v>
      </c>
      <c r="I46" t="s">
        <v>12</v>
      </c>
      <c r="J46" t="s">
        <v>41</v>
      </c>
      <c r="K46">
        <v>22099</v>
      </c>
      <c r="L46" t="s">
        <v>19</v>
      </c>
      <c r="M46" t="s">
        <v>53</v>
      </c>
      <c r="N46" t="s">
        <v>20</v>
      </c>
      <c r="O46">
        <v>5</v>
      </c>
      <c r="P46" t="s">
        <v>52</v>
      </c>
      <c r="Q46" t="s">
        <v>22</v>
      </c>
    </row>
    <row r="47" spans="1:17" x14ac:dyDescent="0.2">
      <c r="A47">
        <v>64</v>
      </c>
      <c r="B47">
        <v>22099</v>
      </c>
      <c r="C47" t="s">
        <v>79</v>
      </c>
      <c r="D47" t="s">
        <v>36</v>
      </c>
      <c r="E47" s="4">
        <v>40620</v>
      </c>
      <c r="F47" t="s">
        <v>63</v>
      </c>
      <c r="G47" t="s">
        <v>44</v>
      </c>
      <c r="H47">
        <v>2</v>
      </c>
      <c r="I47" t="s">
        <v>12</v>
      </c>
      <c r="J47" t="s">
        <v>41</v>
      </c>
      <c r="K47">
        <v>22099</v>
      </c>
      <c r="L47" t="s">
        <v>19</v>
      </c>
      <c r="M47" t="s">
        <v>49</v>
      </c>
      <c r="N47" t="s">
        <v>20</v>
      </c>
      <c r="O47">
        <v>5</v>
      </c>
      <c r="P47" t="s">
        <v>52</v>
      </c>
      <c r="Q47" t="s">
        <v>22</v>
      </c>
    </row>
    <row r="48" spans="1:17" x14ac:dyDescent="0.2">
      <c r="A48">
        <v>65</v>
      </c>
      <c r="B48">
        <v>22099</v>
      </c>
      <c r="C48" t="s">
        <v>79</v>
      </c>
      <c r="D48" t="s">
        <v>36</v>
      </c>
      <c r="E48" s="4">
        <v>40620</v>
      </c>
      <c r="F48" t="s">
        <v>63</v>
      </c>
      <c r="G48" t="s">
        <v>44</v>
      </c>
      <c r="H48">
        <v>3</v>
      </c>
      <c r="I48" t="s">
        <v>12</v>
      </c>
      <c r="J48" t="s">
        <v>41</v>
      </c>
      <c r="K48">
        <v>22099</v>
      </c>
      <c r="L48" t="s">
        <v>19</v>
      </c>
      <c r="M48" t="s">
        <v>54</v>
      </c>
      <c r="N48" t="s">
        <v>20</v>
      </c>
      <c r="O48">
        <v>5</v>
      </c>
      <c r="P48" t="s">
        <v>52</v>
      </c>
      <c r="Q48" t="s">
        <v>22</v>
      </c>
    </row>
    <row r="49" spans="1:18" x14ac:dyDescent="0.2">
      <c r="A49">
        <v>3</v>
      </c>
      <c r="B49">
        <v>1026688</v>
      </c>
      <c r="C49" t="s">
        <v>23</v>
      </c>
      <c r="D49" t="s">
        <v>23</v>
      </c>
      <c r="E49" s="4">
        <v>39457</v>
      </c>
      <c r="F49"/>
      <c r="G49" t="s">
        <v>9</v>
      </c>
      <c r="H49">
        <v>1</v>
      </c>
      <c r="I49" t="s">
        <v>12</v>
      </c>
      <c r="J49" t="s">
        <v>39</v>
      </c>
      <c r="K49">
        <v>1026688</v>
      </c>
      <c r="L49" t="s">
        <v>30</v>
      </c>
      <c r="M49" t="s">
        <v>50</v>
      </c>
      <c r="N49" t="s">
        <v>26</v>
      </c>
      <c r="O49">
        <v>15</v>
      </c>
      <c r="P49" t="s">
        <v>52</v>
      </c>
      <c r="Q49" t="s">
        <v>22</v>
      </c>
      <c r="R49" t="s">
        <v>59</v>
      </c>
    </row>
    <row r="50" spans="1:18" x14ac:dyDescent="0.2">
      <c r="A50">
        <v>4</v>
      </c>
      <c r="B50">
        <v>1026688</v>
      </c>
      <c r="C50" t="s">
        <v>23</v>
      </c>
      <c r="D50" t="s">
        <v>23</v>
      </c>
      <c r="E50" s="4">
        <v>39457</v>
      </c>
      <c r="F50"/>
      <c r="G50" t="s">
        <v>9</v>
      </c>
      <c r="H50">
        <v>2</v>
      </c>
      <c r="I50" t="s">
        <v>18</v>
      </c>
      <c r="J50" t="s">
        <v>39</v>
      </c>
      <c r="K50">
        <v>1026688</v>
      </c>
      <c r="L50" t="s">
        <v>18</v>
      </c>
      <c r="M50" t="s">
        <v>50</v>
      </c>
      <c r="N50" t="s">
        <v>27</v>
      </c>
      <c r="O50">
        <v>15</v>
      </c>
      <c r="P50" t="s">
        <v>52</v>
      </c>
      <c r="Q50" t="s">
        <v>22</v>
      </c>
      <c r="R50" t="s">
        <v>59</v>
      </c>
    </row>
    <row r="51" spans="1:18" x14ac:dyDescent="0.2">
      <c r="A51">
        <v>36</v>
      </c>
      <c r="B51">
        <v>1026688</v>
      </c>
      <c r="C51" t="s">
        <v>23</v>
      </c>
      <c r="D51" t="s">
        <v>23</v>
      </c>
      <c r="E51" s="4">
        <v>40597</v>
      </c>
      <c r="F51" t="s">
        <v>62</v>
      </c>
      <c r="G51" t="s">
        <v>9</v>
      </c>
      <c r="H51">
        <v>1</v>
      </c>
      <c r="I51" t="s">
        <v>12</v>
      </c>
      <c r="J51" t="s">
        <v>39</v>
      </c>
      <c r="K51">
        <v>1026688</v>
      </c>
      <c r="L51" t="s">
        <v>30</v>
      </c>
      <c r="M51" t="s">
        <v>50</v>
      </c>
      <c r="N51" t="s">
        <v>26</v>
      </c>
      <c r="O51">
        <v>5</v>
      </c>
      <c r="P51" t="s">
        <v>52</v>
      </c>
      <c r="Q51" t="s">
        <v>22</v>
      </c>
    </row>
    <row r="52" spans="1:18" x14ac:dyDescent="0.2">
      <c r="A52">
        <v>37</v>
      </c>
      <c r="B52">
        <v>1026688</v>
      </c>
      <c r="C52" t="s">
        <v>23</v>
      </c>
      <c r="D52" t="s">
        <v>23</v>
      </c>
      <c r="E52" s="4">
        <v>40597</v>
      </c>
      <c r="F52" t="s">
        <v>62</v>
      </c>
      <c r="G52" t="s">
        <v>9</v>
      </c>
      <c r="H52">
        <v>2</v>
      </c>
      <c r="I52" t="s">
        <v>18</v>
      </c>
      <c r="J52" t="s">
        <v>39</v>
      </c>
      <c r="K52">
        <v>1026688</v>
      </c>
      <c r="L52" t="s">
        <v>18</v>
      </c>
      <c r="M52" t="s">
        <v>50</v>
      </c>
      <c r="N52" t="s">
        <v>27</v>
      </c>
      <c r="O52">
        <v>5</v>
      </c>
      <c r="P52" t="s">
        <v>52</v>
      </c>
      <c r="Q52" t="s">
        <v>22</v>
      </c>
    </row>
    <row r="53" spans="1:18" x14ac:dyDescent="0.2">
      <c r="A53">
        <v>5</v>
      </c>
      <c r="B53">
        <v>1027936</v>
      </c>
      <c r="C53" t="s">
        <v>23</v>
      </c>
      <c r="D53" t="s">
        <v>23</v>
      </c>
      <c r="E53" s="4">
        <v>39457</v>
      </c>
      <c r="F53"/>
      <c r="G53" t="s">
        <v>9</v>
      </c>
      <c r="H53">
        <v>1</v>
      </c>
      <c r="I53" t="s">
        <v>12</v>
      </c>
      <c r="J53" t="s">
        <v>38</v>
      </c>
      <c r="K53">
        <v>1027936</v>
      </c>
      <c r="L53" t="s">
        <v>25</v>
      </c>
      <c r="M53" t="s">
        <v>50</v>
      </c>
      <c r="N53" t="s">
        <v>26</v>
      </c>
      <c r="O53">
        <v>15</v>
      </c>
      <c r="P53" t="s">
        <v>52</v>
      </c>
      <c r="Q53" t="s">
        <v>22</v>
      </c>
      <c r="R53" t="s">
        <v>59</v>
      </c>
    </row>
    <row r="54" spans="1:18" x14ac:dyDescent="0.2">
      <c r="A54">
        <v>6</v>
      </c>
      <c r="B54">
        <v>1027936</v>
      </c>
      <c r="C54" t="s">
        <v>23</v>
      </c>
      <c r="D54" t="s">
        <v>23</v>
      </c>
      <c r="E54" s="4">
        <v>39457</v>
      </c>
      <c r="F54"/>
      <c r="G54" t="s">
        <v>9</v>
      </c>
      <c r="H54">
        <v>2</v>
      </c>
      <c r="I54" t="s">
        <v>18</v>
      </c>
      <c r="J54" t="s">
        <v>38</v>
      </c>
      <c r="K54">
        <v>1027936</v>
      </c>
      <c r="L54" t="s">
        <v>18</v>
      </c>
      <c r="M54" t="s">
        <v>50</v>
      </c>
      <c r="N54" t="s">
        <v>27</v>
      </c>
      <c r="O54">
        <v>15</v>
      </c>
      <c r="P54" t="s">
        <v>52</v>
      </c>
      <c r="Q54" t="s">
        <v>22</v>
      </c>
      <c r="R54" t="s">
        <v>59</v>
      </c>
    </row>
    <row r="55" spans="1:18" x14ac:dyDescent="0.2">
      <c r="A55">
        <v>38</v>
      </c>
      <c r="B55">
        <v>1027936</v>
      </c>
      <c r="C55" t="s">
        <v>23</v>
      </c>
      <c r="D55" t="s">
        <v>23</v>
      </c>
      <c r="E55" s="4">
        <v>40597</v>
      </c>
      <c r="F55" t="s">
        <v>62</v>
      </c>
      <c r="G55" t="s">
        <v>9</v>
      </c>
      <c r="H55">
        <v>1</v>
      </c>
      <c r="I55" t="s">
        <v>12</v>
      </c>
      <c r="J55" t="s">
        <v>38</v>
      </c>
      <c r="K55">
        <v>1027936</v>
      </c>
      <c r="L55" t="s">
        <v>25</v>
      </c>
      <c r="M55" t="s">
        <v>50</v>
      </c>
      <c r="N55" t="s">
        <v>26</v>
      </c>
      <c r="O55">
        <v>5</v>
      </c>
      <c r="P55" t="s">
        <v>52</v>
      </c>
      <c r="Q55" t="s">
        <v>22</v>
      </c>
    </row>
    <row r="56" spans="1:18" x14ac:dyDescent="0.2">
      <c r="A56">
        <v>40</v>
      </c>
      <c r="B56">
        <v>1027936</v>
      </c>
      <c r="C56" t="s">
        <v>23</v>
      </c>
      <c r="D56" t="s">
        <v>23</v>
      </c>
      <c r="E56" s="4">
        <v>40599</v>
      </c>
      <c r="F56" t="s">
        <v>62</v>
      </c>
      <c r="G56" t="s">
        <v>9</v>
      </c>
      <c r="H56">
        <v>2</v>
      </c>
      <c r="I56" t="s">
        <v>18</v>
      </c>
      <c r="J56" t="s">
        <v>38</v>
      </c>
      <c r="K56">
        <v>1027936</v>
      </c>
      <c r="L56" t="s">
        <v>18</v>
      </c>
      <c r="M56" t="s">
        <v>50</v>
      </c>
      <c r="N56" t="s">
        <v>27</v>
      </c>
      <c r="O56">
        <v>5</v>
      </c>
      <c r="P56" t="s">
        <v>52</v>
      </c>
      <c r="Q56" t="s">
        <v>22</v>
      </c>
    </row>
    <row r="57" spans="1:18" x14ac:dyDescent="0.2">
      <c r="A57">
        <v>21</v>
      </c>
      <c r="B57">
        <v>1038069</v>
      </c>
      <c r="C57" t="s">
        <v>23</v>
      </c>
      <c r="D57" t="s">
        <v>23</v>
      </c>
      <c r="E57" s="4">
        <v>39916</v>
      </c>
      <c r="F57"/>
      <c r="G57" t="s">
        <v>31</v>
      </c>
      <c r="H57">
        <v>1</v>
      </c>
      <c r="I57" t="s">
        <v>12</v>
      </c>
      <c r="J57" t="s">
        <v>38</v>
      </c>
      <c r="K57">
        <v>1038069</v>
      </c>
      <c r="L57" t="s">
        <v>25</v>
      </c>
      <c r="M57" t="s">
        <v>50</v>
      </c>
      <c r="N57" t="s">
        <v>26</v>
      </c>
      <c r="O57">
        <v>15</v>
      </c>
      <c r="P57" t="s">
        <v>52</v>
      </c>
      <c r="Q57" t="s">
        <v>32</v>
      </c>
      <c r="R57" t="s">
        <v>59</v>
      </c>
    </row>
    <row r="58" spans="1:18" x14ac:dyDescent="0.2">
      <c r="A58">
        <v>22</v>
      </c>
      <c r="B58">
        <v>1038069</v>
      </c>
      <c r="C58" t="s">
        <v>23</v>
      </c>
      <c r="D58" t="s">
        <v>23</v>
      </c>
      <c r="E58" s="4">
        <v>39916</v>
      </c>
      <c r="F58"/>
      <c r="G58" t="s">
        <v>31</v>
      </c>
      <c r="H58">
        <v>2</v>
      </c>
      <c r="I58" t="s">
        <v>18</v>
      </c>
      <c r="J58" t="s">
        <v>38</v>
      </c>
      <c r="K58">
        <v>1038069</v>
      </c>
      <c r="L58" t="s">
        <v>18</v>
      </c>
      <c r="M58" t="s">
        <v>50</v>
      </c>
      <c r="N58" t="s">
        <v>27</v>
      </c>
      <c r="O58">
        <v>15</v>
      </c>
      <c r="P58" t="s">
        <v>52</v>
      </c>
      <c r="Q58" t="s">
        <v>32</v>
      </c>
      <c r="R58" t="s">
        <v>59</v>
      </c>
    </row>
    <row r="59" spans="1:18" x14ac:dyDescent="0.2">
      <c r="A59">
        <v>41</v>
      </c>
      <c r="B59">
        <v>1038069</v>
      </c>
      <c r="C59" t="s">
        <v>23</v>
      </c>
      <c r="D59" t="s">
        <v>23</v>
      </c>
      <c r="E59" s="4">
        <v>40599</v>
      </c>
      <c r="F59" t="s">
        <v>62</v>
      </c>
      <c r="G59" t="s">
        <v>31</v>
      </c>
      <c r="H59">
        <v>1</v>
      </c>
      <c r="I59" t="s">
        <v>12</v>
      </c>
      <c r="J59" t="s">
        <v>38</v>
      </c>
      <c r="K59">
        <v>1038069</v>
      </c>
      <c r="L59" t="s">
        <v>25</v>
      </c>
      <c r="M59" t="s">
        <v>50</v>
      </c>
      <c r="N59" t="s">
        <v>26</v>
      </c>
      <c r="O59">
        <v>5</v>
      </c>
      <c r="P59" t="s">
        <v>52</v>
      </c>
      <c r="Q59" t="s">
        <v>22</v>
      </c>
    </row>
    <row r="60" spans="1:18" x14ac:dyDescent="0.2">
      <c r="A60">
        <v>42</v>
      </c>
      <c r="B60">
        <v>1038069</v>
      </c>
      <c r="C60" t="s">
        <v>23</v>
      </c>
      <c r="D60" t="s">
        <v>23</v>
      </c>
      <c r="E60" s="4">
        <v>40599</v>
      </c>
      <c r="F60" t="s">
        <v>62</v>
      </c>
      <c r="G60" t="s">
        <v>31</v>
      </c>
      <c r="H60">
        <v>2</v>
      </c>
      <c r="I60" t="s">
        <v>18</v>
      </c>
      <c r="J60" t="s">
        <v>38</v>
      </c>
      <c r="K60">
        <v>1038069</v>
      </c>
      <c r="L60" t="s">
        <v>18</v>
      </c>
      <c r="M60" t="s">
        <v>50</v>
      </c>
      <c r="N60" t="s">
        <v>27</v>
      </c>
      <c r="O60">
        <v>5</v>
      </c>
      <c r="P60" t="s">
        <v>52</v>
      </c>
      <c r="Q60" t="s">
        <v>22</v>
      </c>
    </row>
    <row r="61" spans="1:18" x14ac:dyDescent="0.2">
      <c r="A61">
        <v>19</v>
      </c>
      <c r="B61">
        <v>1038582</v>
      </c>
      <c r="C61" t="s">
        <v>23</v>
      </c>
      <c r="D61" t="s">
        <v>23</v>
      </c>
      <c r="E61" s="4">
        <v>39912</v>
      </c>
      <c r="F61"/>
      <c r="G61" t="s">
        <v>24</v>
      </c>
      <c r="H61">
        <v>1</v>
      </c>
      <c r="I61" t="s">
        <v>12</v>
      </c>
      <c r="J61" t="s">
        <v>38</v>
      </c>
      <c r="K61">
        <v>1038582</v>
      </c>
      <c r="L61" t="s">
        <v>25</v>
      </c>
      <c r="M61" t="s">
        <v>50</v>
      </c>
      <c r="N61" t="s">
        <v>26</v>
      </c>
      <c r="O61">
        <v>15</v>
      </c>
      <c r="P61" t="s">
        <v>52</v>
      </c>
      <c r="Q61" t="s">
        <v>32</v>
      </c>
      <c r="R61" t="s">
        <v>59</v>
      </c>
    </row>
    <row r="62" spans="1:18" x14ac:dyDescent="0.2">
      <c r="A62">
        <v>20</v>
      </c>
      <c r="B62">
        <v>1038582</v>
      </c>
      <c r="C62" t="s">
        <v>23</v>
      </c>
      <c r="D62" t="s">
        <v>23</v>
      </c>
      <c r="E62" s="4">
        <v>39912</v>
      </c>
      <c r="F62"/>
      <c r="G62" t="s">
        <v>24</v>
      </c>
      <c r="H62">
        <v>2</v>
      </c>
      <c r="I62" t="s">
        <v>18</v>
      </c>
      <c r="J62" t="s">
        <v>38</v>
      </c>
      <c r="K62">
        <v>1038582</v>
      </c>
      <c r="L62" t="s">
        <v>18</v>
      </c>
      <c r="M62" t="s">
        <v>50</v>
      </c>
      <c r="N62" t="s">
        <v>27</v>
      </c>
      <c r="O62">
        <v>15</v>
      </c>
      <c r="P62" t="s">
        <v>52</v>
      </c>
      <c r="Q62" t="s">
        <v>32</v>
      </c>
      <c r="R62" t="s">
        <v>59</v>
      </c>
    </row>
    <row r="63" spans="1:18" x14ac:dyDescent="0.2">
      <c r="A63">
        <v>43</v>
      </c>
      <c r="B63">
        <v>1038582</v>
      </c>
      <c r="C63" t="s">
        <v>23</v>
      </c>
      <c r="D63" t="s">
        <v>23</v>
      </c>
      <c r="E63" s="4">
        <v>40599</v>
      </c>
      <c r="F63" t="s">
        <v>62</v>
      </c>
      <c r="G63" t="s">
        <v>24</v>
      </c>
      <c r="H63">
        <v>1</v>
      </c>
      <c r="I63" t="s">
        <v>12</v>
      </c>
      <c r="J63" t="s">
        <v>38</v>
      </c>
      <c r="K63">
        <v>1038582</v>
      </c>
      <c r="L63" t="s">
        <v>25</v>
      </c>
      <c r="M63" t="s">
        <v>50</v>
      </c>
      <c r="N63" t="s">
        <v>26</v>
      </c>
      <c r="O63">
        <v>5</v>
      </c>
      <c r="P63" t="s">
        <v>52</v>
      </c>
      <c r="Q63" t="s">
        <v>22</v>
      </c>
    </row>
    <row r="64" spans="1:18" x14ac:dyDescent="0.2">
      <c r="A64">
        <v>44</v>
      </c>
      <c r="B64">
        <v>1038582</v>
      </c>
      <c r="C64" t="s">
        <v>23</v>
      </c>
      <c r="D64" t="s">
        <v>23</v>
      </c>
      <c r="E64" s="4">
        <v>40599</v>
      </c>
      <c r="F64" t="s">
        <v>62</v>
      </c>
      <c r="G64" t="s">
        <v>24</v>
      </c>
      <c r="H64">
        <v>2</v>
      </c>
      <c r="I64" t="s">
        <v>18</v>
      </c>
      <c r="J64" t="s">
        <v>38</v>
      </c>
      <c r="K64">
        <v>1038582</v>
      </c>
      <c r="L64" t="s">
        <v>18</v>
      </c>
      <c r="M64" t="s">
        <v>50</v>
      </c>
      <c r="N64" t="s">
        <v>27</v>
      </c>
      <c r="O64">
        <v>5</v>
      </c>
      <c r="P64" t="s">
        <v>52</v>
      </c>
      <c r="Q64" t="s">
        <v>22</v>
      </c>
    </row>
    <row r="65" spans="1:18" x14ac:dyDescent="0.2">
      <c r="A65">
        <v>67</v>
      </c>
      <c r="B65">
        <v>13324</v>
      </c>
      <c r="C65" t="s">
        <v>79</v>
      </c>
      <c r="D65" t="s">
        <v>11</v>
      </c>
      <c r="E65" s="4">
        <v>40632</v>
      </c>
      <c r="F65" t="s">
        <v>63</v>
      </c>
      <c r="G65" t="s">
        <v>9</v>
      </c>
      <c r="H65">
        <v>1</v>
      </c>
      <c r="I65" t="s">
        <v>15</v>
      </c>
      <c r="J65" t="s">
        <v>40</v>
      </c>
      <c r="K65" t="s">
        <v>13</v>
      </c>
      <c r="L65" t="s">
        <v>14</v>
      </c>
      <c r="M65" t="s">
        <v>49</v>
      </c>
      <c r="N65" t="s">
        <v>28</v>
      </c>
      <c r="O65">
        <v>5</v>
      </c>
      <c r="P65" t="s">
        <v>52</v>
      </c>
      <c r="Q65" t="s">
        <v>22</v>
      </c>
      <c r="R65" t="s">
        <v>60</v>
      </c>
    </row>
    <row r="66" spans="1:18" x14ac:dyDescent="0.2">
      <c r="A66">
        <v>68</v>
      </c>
      <c r="B66">
        <v>13324</v>
      </c>
      <c r="C66" t="s">
        <v>79</v>
      </c>
      <c r="D66" t="s">
        <v>11</v>
      </c>
      <c r="E66" s="4">
        <v>40640</v>
      </c>
      <c r="F66" t="s">
        <v>63</v>
      </c>
      <c r="G66" t="s">
        <v>9</v>
      </c>
      <c r="H66">
        <v>1</v>
      </c>
      <c r="I66" t="s">
        <v>15</v>
      </c>
      <c r="J66" t="s">
        <v>40</v>
      </c>
      <c r="K66" t="s">
        <v>13</v>
      </c>
      <c r="L66" t="s">
        <v>14</v>
      </c>
      <c r="M66" t="s">
        <v>49</v>
      </c>
      <c r="N66" t="s">
        <v>14</v>
      </c>
      <c r="O66">
        <v>5</v>
      </c>
      <c r="P66" t="s">
        <v>52</v>
      </c>
      <c r="Q66" t="s">
        <v>22</v>
      </c>
    </row>
  </sheetData>
  <phoneticPr fontId="1" type="noConversion"/>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2"/>
  <sheetViews>
    <sheetView workbookViewId="0">
      <selection activeCell="I29" sqref="I29"/>
    </sheetView>
  </sheetViews>
  <sheetFormatPr defaultColWidth="8.85546875" defaultRowHeight="12.75" x14ac:dyDescent="0.2"/>
  <sheetData>
    <row r="1" spans="1:1" x14ac:dyDescent="0.2">
      <c r="A1" s="60" t="s">
        <v>1671</v>
      </c>
    </row>
    <row r="2" spans="1:1" x14ac:dyDescent="0.2">
      <c r="A2" s="60"/>
    </row>
    <row r="3" spans="1:1" x14ac:dyDescent="0.2">
      <c r="A3" s="60" t="s">
        <v>1675</v>
      </c>
    </row>
    <row r="4" spans="1:1" x14ac:dyDescent="0.2">
      <c r="A4" s="60" t="s">
        <v>1682</v>
      </c>
    </row>
    <row r="6" spans="1:1" x14ac:dyDescent="0.2">
      <c r="A6" s="60" t="s">
        <v>1672</v>
      </c>
    </row>
    <row r="8" spans="1:1" x14ac:dyDescent="0.2">
      <c r="A8" s="60" t="s">
        <v>1673</v>
      </c>
    </row>
    <row r="10" spans="1:1" x14ac:dyDescent="0.2">
      <c r="A10" s="60" t="s">
        <v>1674</v>
      </c>
    </row>
    <row r="12" spans="1:1" x14ac:dyDescent="0.2">
      <c r="A12" s="60" t="s">
        <v>1679</v>
      </c>
    </row>
    <row r="14" spans="1:1" x14ac:dyDescent="0.2">
      <c r="A14" s="60" t="s">
        <v>1676</v>
      </c>
    </row>
    <row r="16" spans="1:1" x14ac:dyDescent="0.2">
      <c r="A16" s="60" t="s">
        <v>1678</v>
      </c>
    </row>
    <row r="18" spans="1:1" x14ac:dyDescent="0.2">
      <c r="A18" s="60" t="s">
        <v>1680</v>
      </c>
    </row>
    <row r="20" spans="1:1" x14ac:dyDescent="0.2">
      <c r="A20" s="60" t="s">
        <v>1681</v>
      </c>
    </row>
    <row r="22" spans="1:1" x14ac:dyDescent="0.2">
      <c r="A22" s="60" t="s">
        <v>1683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zoomScale="160" zoomScaleNormal="160" zoomScalePageLayoutView="160" workbookViewId="0">
      <pane xSplit="1" ySplit="1" topLeftCell="B2" activePane="bottomRight" state="frozen"/>
      <selection pane="topRight" activeCell="B1" sqref="B1"/>
      <selection pane="bottomLeft" activeCell="A2" sqref="A2"/>
      <selection pane="bottomRight" activeCell="D22" sqref="D22"/>
    </sheetView>
  </sheetViews>
  <sheetFormatPr defaultColWidth="8.85546875" defaultRowHeight="12.75" x14ac:dyDescent="0.2"/>
  <cols>
    <col min="1" max="1" width="8.42578125" bestFit="1" customWidth="1"/>
    <col min="2" max="2" width="10" bestFit="1" customWidth="1"/>
    <col min="3" max="3" width="8.28515625" bestFit="1" customWidth="1"/>
    <col min="4" max="4" width="8.42578125" bestFit="1" customWidth="1"/>
    <col min="5" max="5" width="9.7109375" bestFit="1" customWidth="1"/>
  </cols>
  <sheetData>
    <row r="1" spans="1:5" x14ac:dyDescent="0.2">
      <c r="A1" t="s">
        <v>65</v>
      </c>
      <c r="B1" t="s">
        <v>66</v>
      </c>
      <c r="C1" t="s">
        <v>64</v>
      </c>
      <c r="D1" t="s">
        <v>67</v>
      </c>
      <c r="E1" t="s">
        <v>89</v>
      </c>
    </row>
  </sheetData>
  <phoneticPr fontId="1" type="noConversion"/>
  <pageMargins left="0.75" right="0.75" top="1" bottom="1" header="0.5" footer="0.5"/>
  <pageSetup scale="90" orientation="landscape"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9"/>
  <sheetViews>
    <sheetView tabSelected="1" workbookViewId="0">
      <pane xSplit="1" ySplit="2" topLeftCell="B3" activePane="bottomRight" state="frozen"/>
      <selection pane="topRight" activeCell="B1" sqref="B1"/>
      <selection pane="bottomLeft" activeCell="A3" sqref="A3"/>
      <selection pane="bottomRight" activeCell="F14" sqref="F14"/>
    </sheetView>
  </sheetViews>
  <sheetFormatPr defaultColWidth="8.85546875" defaultRowHeight="12.75" x14ac:dyDescent="0.2"/>
  <cols>
    <col min="1" max="1" width="6.5703125" customWidth="1"/>
    <col min="2" max="2" width="15.85546875" bestFit="1" customWidth="1"/>
    <col min="3" max="3" width="14.5703125" bestFit="1" customWidth="1"/>
    <col min="4" max="4" width="12" bestFit="1" customWidth="1"/>
    <col min="5" max="6" width="12.28515625" bestFit="1" customWidth="1"/>
    <col min="7" max="7" width="15" bestFit="1" customWidth="1"/>
    <col min="8" max="8" width="13.85546875" bestFit="1" customWidth="1"/>
    <col min="9" max="9" width="9.42578125" bestFit="1" customWidth="1"/>
    <col min="10" max="10" width="14.5703125" bestFit="1" customWidth="1"/>
    <col min="11" max="11" width="11.28515625" bestFit="1" customWidth="1"/>
    <col min="12" max="12" width="8.7109375" bestFit="1" customWidth="1"/>
    <col min="14" max="14" width="16" bestFit="1" customWidth="1"/>
    <col min="15" max="15" width="15" bestFit="1" customWidth="1"/>
    <col min="16" max="16" width="19.140625" bestFit="1" customWidth="1"/>
    <col min="17" max="17" width="15.140625" bestFit="1" customWidth="1"/>
    <col min="18" max="18" width="23.140625" bestFit="1" customWidth="1"/>
    <col min="19" max="19" width="8.7109375" bestFit="1" customWidth="1"/>
    <col min="20" max="20" width="10.5703125" bestFit="1" customWidth="1"/>
    <col min="21" max="21" width="11.5703125" bestFit="1" customWidth="1"/>
    <col min="22" max="22" width="9.7109375" bestFit="1" customWidth="1"/>
    <col min="23" max="23" width="8.7109375" bestFit="1" customWidth="1"/>
  </cols>
  <sheetData>
    <row r="1" spans="1:24" ht="18" x14ac:dyDescent="0.25">
      <c r="A1" s="3" t="s">
        <v>90</v>
      </c>
    </row>
    <row r="2" spans="1:24" ht="26.25" thickBot="1" x14ac:dyDescent="0.25">
      <c r="A2" t="s">
        <v>68</v>
      </c>
      <c r="B2" s="93" t="s">
        <v>1697</v>
      </c>
      <c r="C2" s="85" t="s">
        <v>1698</v>
      </c>
      <c r="D2" s="85" t="s">
        <v>1699</v>
      </c>
      <c r="E2" s="85" t="s">
        <v>1075</v>
      </c>
      <c r="F2" s="85" t="s">
        <v>1084</v>
      </c>
      <c r="G2" s="85" t="s">
        <v>1700</v>
      </c>
      <c r="H2" s="85" t="s">
        <v>1701</v>
      </c>
      <c r="I2" s="86" t="s">
        <v>1702</v>
      </c>
      <c r="J2" s="87" t="s">
        <v>1703</v>
      </c>
      <c r="K2" s="87" t="s">
        <v>1704</v>
      </c>
      <c r="L2" s="87" t="s">
        <v>1705</v>
      </c>
      <c r="M2" s="87" t="s">
        <v>1706</v>
      </c>
      <c r="N2" s="87" t="s">
        <v>1707</v>
      </c>
      <c r="O2" s="87" t="s">
        <v>1708</v>
      </c>
      <c r="P2" s="87" t="s">
        <v>1709</v>
      </c>
      <c r="Q2" s="87" t="s">
        <v>1710</v>
      </c>
      <c r="R2" s="87" t="s">
        <v>1711</v>
      </c>
      <c r="S2" s="87" t="s">
        <v>1712</v>
      </c>
      <c r="T2" s="85" t="s">
        <v>1713</v>
      </c>
      <c r="U2" s="87" t="s">
        <v>57</v>
      </c>
      <c r="V2" s="87" t="s">
        <v>1714</v>
      </c>
      <c r="W2" s="88" t="s">
        <v>1715</v>
      </c>
      <c r="X2" s="88" t="s">
        <v>1716</v>
      </c>
    </row>
    <row r="3" spans="1:24" ht="113.25" thickBot="1" x14ac:dyDescent="0.25">
      <c r="B3" s="89" t="s">
        <v>1717</v>
      </c>
      <c r="C3" s="90" t="s">
        <v>1718</v>
      </c>
      <c r="D3" s="91" t="s">
        <v>1719</v>
      </c>
      <c r="E3" s="92" t="s">
        <v>1720</v>
      </c>
      <c r="F3" s="92" t="s">
        <v>1720</v>
      </c>
      <c r="G3" s="91" t="s">
        <v>1721</v>
      </c>
      <c r="H3" s="91" t="s">
        <v>1722</v>
      </c>
      <c r="I3" s="91" t="s">
        <v>1723</v>
      </c>
      <c r="J3" s="92" t="s">
        <v>1724</v>
      </c>
      <c r="K3" s="91" t="s">
        <v>1725</v>
      </c>
      <c r="L3" s="91"/>
      <c r="M3" s="91" t="s">
        <v>1726</v>
      </c>
      <c r="N3" s="91" t="s">
        <v>1727</v>
      </c>
      <c r="O3" s="91" t="s">
        <v>1728</v>
      </c>
      <c r="P3" s="91"/>
      <c r="Q3" s="91" t="s">
        <v>1729</v>
      </c>
      <c r="R3" s="91" t="s">
        <v>1730</v>
      </c>
      <c r="S3" s="91" t="s">
        <v>1731</v>
      </c>
      <c r="T3" s="91" t="s">
        <v>1732</v>
      </c>
      <c r="U3" s="92"/>
      <c r="V3" s="92"/>
      <c r="W3" s="91" t="s">
        <v>1733</v>
      </c>
      <c r="X3" s="91" t="s">
        <v>1734</v>
      </c>
    </row>
    <row r="4" spans="1:24" x14ac:dyDescent="0.2">
      <c r="A4">
        <v>1</v>
      </c>
      <c r="B4" t="s">
        <v>9</v>
      </c>
    </row>
    <row r="5" spans="1:24" x14ac:dyDescent="0.2">
      <c r="A5">
        <v>2</v>
      </c>
      <c r="B5" t="s">
        <v>24</v>
      </c>
    </row>
    <row r="6" spans="1:24" x14ac:dyDescent="0.2">
      <c r="A6">
        <v>3</v>
      </c>
      <c r="B6" t="s">
        <v>17</v>
      </c>
    </row>
    <row r="7" spans="1:24" x14ac:dyDescent="0.2">
      <c r="A7">
        <v>4</v>
      </c>
      <c r="B7" t="s">
        <v>31</v>
      </c>
    </row>
    <row r="8" spans="1:24" x14ac:dyDescent="0.2">
      <c r="A8">
        <v>5</v>
      </c>
      <c r="B8" t="s">
        <v>33</v>
      </c>
    </row>
    <row r="9" spans="1:24" x14ac:dyDescent="0.2">
      <c r="A9">
        <v>6</v>
      </c>
      <c r="B9" t="s">
        <v>45</v>
      </c>
    </row>
    <row r="10" spans="1:24" x14ac:dyDescent="0.2">
      <c r="A10">
        <v>7</v>
      </c>
      <c r="B10" t="s">
        <v>42</v>
      </c>
    </row>
    <row r="11" spans="1:24" x14ac:dyDescent="0.2">
      <c r="A11">
        <v>8</v>
      </c>
      <c r="B11" t="s">
        <v>47</v>
      </c>
    </row>
    <row r="12" spans="1:24" x14ac:dyDescent="0.2">
      <c r="A12">
        <v>9</v>
      </c>
      <c r="B12" t="s">
        <v>44</v>
      </c>
    </row>
    <row r="13" spans="1:24" x14ac:dyDescent="0.2">
      <c r="A13">
        <v>10</v>
      </c>
      <c r="B13" t="s">
        <v>43</v>
      </c>
    </row>
    <row r="14" spans="1:24" x14ac:dyDescent="0.2">
      <c r="A14">
        <v>11</v>
      </c>
      <c r="B14" t="s">
        <v>35</v>
      </c>
    </row>
    <row r="15" spans="1:24" x14ac:dyDescent="0.2">
      <c r="A15">
        <v>12</v>
      </c>
      <c r="B15" s="60" t="s">
        <v>1418</v>
      </c>
    </row>
    <row r="16" spans="1:24" x14ac:dyDescent="0.2">
      <c r="A16">
        <v>13</v>
      </c>
      <c r="B16" s="60" t="s">
        <v>1419</v>
      </c>
    </row>
    <row r="17" spans="1:2" x14ac:dyDescent="0.2">
      <c r="A17">
        <v>14</v>
      </c>
      <c r="B17" s="60" t="s">
        <v>1420</v>
      </c>
    </row>
    <row r="18" spans="1:2" x14ac:dyDescent="0.2">
      <c r="A18">
        <v>15</v>
      </c>
      <c r="B18" s="7" t="s">
        <v>1757</v>
      </c>
    </row>
    <row r="19" spans="1:2" x14ac:dyDescent="0.2">
      <c r="A19">
        <v>16</v>
      </c>
      <c r="B19" s="7" t="s">
        <v>1758</v>
      </c>
    </row>
  </sheetData>
  <phoneticPr fontId="1" type="noConversion"/>
  <dataValidations count="1">
    <dataValidation allowBlank="1" showErrorMessage="1" promptTitle="Info" prompt="The code should be limited to 12 characters." sqref="B3"/>
  </dataValidation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20"/>
  <sheetViews>
    <sheetView workbookViewId="0">
      <pane xSplit="1" ySplit="1" topLeftCell="B2" activePane="bottomRight" state="frozen"/>
      <selection pane="topRight" activeCell="B1" sqref="B1"/>
      <selection pane="bottomLeft" activeCell="A2" sqref="A2"/>
      <selection pane="bottomRight" activeCell="G18" sqref="A1:G18"/>
    </sheetView>
  </sheetViews>
  <sheetFormatPr defaultColWidth="8.85546875" defaultRowHeight="12.75" x14ac:dyDescent="0.2"/>
  <cols>
    <col min="1" max="1" width="8.28515625" bestFit="1" customWidth="1"/>
    <col min="2" max="2" width="11.42578125" bestFit="1" customWidth="1"/>
    <col min="3" max="3" width="17.42578125" bestFit="1" customWidth="1"/>
    <col min="4" max="4" width="21.85546875" bestFit="1" customWidth="1"/>
    <col min="5" max="5" width="18" bestFit="1" customWidth="1"/>
    <col min="6" max="6" width="12.7109375" style="4" bestFit="1" customWidth="1"/>
    <col min="7" max="7" width="29.7109375" bestFit="1" customWidth="1"/>
    <col min="12" max="12" width="28.7109375" bestFit="1" customWidth="1"/>
    <col min="13" max="13" width="3" customWidth="1"/>
    <col min="14" max="14" width="25.140625" style="48" customWidth="1"/>
    <col min="15" max="16" width="5" customWidth="1"/>
    <col min="17" max="17" width="13.85546875" customWidth="1"/>
    <col min="18" max="18" width="20" customWidth="1"/>
    <col min="19" max="19" width="5.42578125" customWidth="1"/>
    <col min="20" max="20" width="5" customWidth="1"/>
    <col min="21" max="21" width="12.85546875" customWidth="1"/>
    <col min="22" max="22" width="21" customWidth="1"/>
    <col min="23" max="23" width="20.28515625" customWidth="1"/>
    <col min="24" max="24" width="5" customWidth="1"/>
    <col min="25" max="26" width="9.140625" customWidth="1"/>
    <col min="27" max="27" width="6.42578125" customWidth="1"/>
    <col min="28" max="38" width="20.28515625" bestFit="1" customWidth="1"/>
    <col min="39" max="39" width="10.42578125" customWidth="1"/>
    <col min="40" max="43" width="9.140625" bestFit="1" customWidth="1"/>
    <col min="44" max="44" width="11.7109375" bestFit="1" customWidth="1"/>
    <col min="45" max="45" width="10.42578125" bestFit="1" customWidth="1"/>
  </cols>
  <sheetData>
    <row r="1" spans="1:24" x14ac:dyDescent="0.2">
      <c r="A1" t="s">
        <v>64</v>
      </c>
      <c r="B1" t="s">
        <v>70</v>
      </c>
      <c r="C1" t="s">
        <v>72</v>
      </c>
      <c r="D1" t="s">
        <v>74</v>
      </c>
      <c r="E1" t="s">
        <v>75</v>
      </c>
      <c r="F1" s="4" t="s">
        <v>73</v>
      </c>
      <c r="G1" t="s">
        <v>1410</v>
      </c>
      <c r="L1" s="27" t="s">
        <v>1389</v>
      </c>
      <c r="N1" s="40" t="s">
        <v>1392</v>
      </c>
      <c r="O1" s="42"/>
      <c r="P1" s="19"/>
      <c r="Q1" s="50" t="s">
        <v>1395</v>
      </c>
      <c r="U1" s="40" t="s">
        <v>1393</v>
      </c>
      <c r="V1" s="38"/>
      <c r="W1" s="38"/>
      <c r="X1" s="42"/>
    </row>
    <row r="2" spans="1:24" x14ac:dyDescent="0.2">
      <c r="A2">
        <v>1</v>
      </c>
      <c r="B2" t="s">
        <v>98</v>
      </c>
      <c r="C2" t="s">
        <v>80</v>
      </c>
      <c r="D2" t="s">
        <v>16</v>
      </c>
      <c r="E2">
        <v>1762</v>
      </c>
      <c r="G2" t="s">
        <v>1411</v>
      </c>
      <c r="L2" s="27" t="str">
        <f>CONCATENATE(C2,D2,E2)</f>
        <v>In-SituminiTROLL1762</v>
      </c>
      <c r="N2" s="40" t="s">
        <v>72</v>
      </c>
      <c r="O2" s="42" t="s">
        <v>1391</v>
      </c>
      <c r="P2" s="19"/>
      <c r="Q2" s="50" t="s">
        <v>72</v>
      </c>
      <c r="R2" s="50" t="s">
        <v>74</v>
      </c>
      <c r="S2" t="s">
        <v>1391</v>
      </c>
      <c r="U2" s="40" t="s">
        <v>72</v>
      </c>
      <c r="V2" s="40" t="s">
        <v>74</v>
      </c>
      <c r="W2" s="40" t="s">
        <v>75</v>
      </c>
      <c r="X2" s="42" t="s">
        <v>1391</v>
      </c>
    </row>
    <row r="3" spans="1:24" x14ac:dyDescent="0.2">
      <c r="A3">
        <v>2</v>
      </c>
      <c r="B3" t="s">
        <v>98</v>
      </c>
      <c r="C3" t="s">
        <v>80</v>
      </c>
      <c r="D3" t="s">
        <v>16</v>
      </c>
      <c r="E3">
        <v>1876</v>
      </c>
      <c r="G3" t="s">
        <v>1412</v>
      </c>
      <c r="L3" s="27" t="str">
        <f t="shared" ref="L3:L18" si="0">CONCATENATE(C3,D3,E3)</f>
        <v>In-SituminiTROLL1876</v>
      </c>
      <c r="N3" s="37" t="s">
        <v>80</v>
      </c>
      <c r="O3" s="43">
        <v>3</v>
      </c>
      <c r="P3" s="49"/>
      <c r="Q3" t="s">
        <v>80</v>
      </c>
      <c r="R3" t="s">
        <v>16</v>
      </c>
      <c r="S3" s="45">
        <v>3</v>
      </c>
      <c r="U3" s="37" t="s">
        <v>80</v>
      </c>
      <c r="V3" s="37" t="s">
        <v>16</v>
      </c>
      <c r="W3" s="37">
        <v>1762</v>
      </c>
      <c r="X3" s="43">
        <v>1</v>
      </c>
    </row>
    <row r="4" spans="1:24" x14ac:dyDescent="0.2">
      <c r="A4">
        <v>3</v>
      </c>
      <c r="B4" t="s">
        <v>98</v>
      </c>
      <c r="C4" t="s">
        <v>80</v>
      </c>
      <c r="D4" t="s">
        <v>16</v>
      </c>
      <c r="E4">
        <v>1902</v>
      </c>
      <c r="G4" t="s">
        <v>1413</v>
      </c>
      <c r="L4" s="27" t="str">
        <f t="shared" si="0"/>
        <v>In-SituminiTROLL1902</v>
      </c>
      <c r="N4" s="41" t="s">
        <v>1426</v>
      </c>
      <c r="O4" s="44">
        <v>1</v>
      </c>
      <c r="P4" s="49"/>
      <c r="Q4" t="s">
        <v>1426</v>
      </c>
      <c r="R4" t="s">
        <v>1424</v>
      </c>
      <c r="S4" s="45">
        <v>1</v>
      </c>
      <c r="U4" s="39" t="s">
        <v>80</v>
      </c>
      <c r="V4" s="39" t="s">
        <v>16</v>
      </c>
      <c r="W4" s="41">
        <v>1876</v>
      </c>
      <c r="X4" s="44">
        <v>1</v>
      </c>
    </row>
    <row r="5" spans="1:24" x14ac:dyDescent="0.2">
      <c r="A5">
        <v>4</v>
      </c>
      <c r="B5" t="s">
        <v>99</v>
      </c>
      <c r="C5" t="s">
        <v>23</v>
      </c>
      <c r="D5" t="s">
        <v>91</v>
      </c>
      <c r="E5">
        <v>1026688</v>
      </c>
      <c r="G5" t="s">
        <v>1427</v>
      </c>
      <c r="L5" s="27" t="str">
        <f t="shared" si="0"/>
        <v>SolinstBaroLogger Gold1026688</v>
      </c>
      <c r="N5" s="41" t="s">
        <v>96</v>
      </c>
      <c r="O5" s="44">
        <v>2</v>
      </c>
      <c r="P5" s="49"/>
      <c r="Q5" t="s">
        <v>96</v>
      </c>
      <c r="R5" t="s">
        <v>97</v>
      </c>
      <c r="S5" s="45">
        <v>2</v>
      </c>
      <c r="U5" s="39" t="s">
        <v>80</v>
      </c>
      <c r="V5" s="39" t="s">
        <v>16</v>
      </c>
      <c r="W5" s="41">
        <v>1902</v>
      </c>
      <c r="X5" s="44">
        <v>1</v>
      </c>
    </row>
    <row r="6" spans="1:24" x14ac:dyDescent="0.2">
      <c r="A6">
        <v>5</v>
      </c>
      <c r="B6" t="s">
        <v>100</v>
      </c>
      <c r="C6" t="s">
        <v>23</v>
      </c>
      <c r="D6" t="s">
        <v>92</v>
      </c>
      <c r="E6">
        <v>1027936</v>
      </c>
      <c r="G6" t="s">
        <v>1428</v>
      </c>
      <c r="L6" s="27" t="str">
        <f t="shared" si="0"/>
        <v>SolinstLevelLogger Gold1027936</v>
      </c>
      <c r="N6" s="41" t="s">
        <v>23</v>
      </c>
      <c r="O6" s="44">
        <v>4</v>
      </c>
      <c r="P6" s="49"/>
      <c r="Q6" t="s">
        <v>23</v>
      </c>
      <c r="R6" t="s">
        <v>91</v>
      </c>
      <c r="S6" s="45">
        <v>1</v>
      </c>
      <c r="U6" s="37" t="s">
        <v>1426</v>
      </c>
      <c r="V6" s="37" t="s">
        <v>1424</v>
      </c>
      <c r="W6" s="37">
        <v>41048</v>
      </c>
      <c r="X6" s="43">
        <v>1</v>
      </c>
    </row>
    <row r="7" spans="1:24" x14ac:dyDescent="0.2">
      <c r="A7">
        <v>6</v>
      </c>
      <c r="B7" t="s">
        <v>100</v>
      </c>
      <c r="C7" t="s">
        <v>23</v>
      </c>
      <c r="D7" t="s">
        <v>92</v>
      </c>
      <c r="E7">
        <v>1038069</v>
      </c>
      <c r="F7" s="4">
        <v>39840</v>
      </c>
      <c r="G7" t="s">
        <v>1429</v>
      </c>
      <c r="L7" s="27" t="str">
        <f t="shared" si="0"/>
        <v>SolinstLevelLogger Gold1038069</v>
      </c>
      <c r="N7" s="41" t="s">
        <v>79</v>
      </c>
      <c r="O7" s="44">
        <v>7</v>
      </c>
      <c r="Q7" t="s">
        <v>23</v>
      </c>
      <c r="R7" t="s">
        <v>92</v>
      </c>
      <c r="S7" s="45">
        <v>3</v>
      </c>
      <c r="U7" s="37" t="s">
        <v>96</v>
      </c>
      <c r="V7" s="37" t="s">
        <v>97</v>
      </c>
      <c r="W7" s="37">
        <v>867579</v>
      </c>
      <c r="X7" s="43">
        <v>1</v>
      </c>
    </row>
    <row r="8" spans="1:24" x14ac:dyDescent="0.2">
      <c r="A8">
        <v>7</v>
      </c>
      <c r="B8" t="s">
        <v>100</v>
      </c>
      <c r="C8" t="s">
        <v>23</v>
      </c>
      <c r="D8" t="s">
        <v>92</v>
      </c>
      <c r="E8">
        <v>1038582</v>
      </c>
      <c r="F8" s="4">
        <v>39840</v>
      </c>
      <c r="G8" t="s">
        <v>1429</v>
      </c>
      <c r="L8" s="27" t="str">
        <f t="shared" si="0"/>
        <v>SolinstLevelLogger Gold1038582</v>
      </c>
      <c r="N8" s="46" t="s">
        <v>1394</v>
      </c>
      <c r="O8" s="47"/>
      <c r="Q8" t="s">
        <v>79</v>
      </c>
      <c r="R8" t="s">
        <v>93</v>
      </c>
      <c r="S8" s="45">
        <v>1</v>
      </c>
      <c r="U8" s="39" t="s">
        <v>96</v>
      </c>
      <c r="V8" s="39" t="s">
        <v>97</v>
      </c>
      <c r="W8" s="41">
        <v>867580</v>
      </c>
      <c r="X8" s="44">
        <v>1</v>
      </c>
    </row>
    <row r="9" spans="1:24" x14ac:dyDescent="0.2">
      <c r="A9">
        <v>8</v>
      </c>
      <c r="B9" t="s">
        <v>101</v>
      </c>
      <c r="C9" t="s">
        <v>79</v>
      </c>
      <c r="D9" t="s">
        <v>93</v>
      </c>
      <c r="E9">
        <v>13324</v>
      </c>
      <c r="L9" s="27" t="str">
        <f t="shared" si="0"/>
        <v>Telog2108 (Potentiometric)13324</v>
      </c>
      <c r="N9"/>
      <c r="Q9" t="s">
        <v>79</v>
      </c>
      <c r="R9" t="s">
        <v>94</v>
      </c>
      <c r="S9" s="45">
        <v>2</v>
      </c>
      <c r="U9" s="37" t="s">
        <v>23</v>
      </c>
      <c r="V9" s="37" t="s">
        <v>91</v>
      </c>
      <c r="W9" s="37">
        <v>1026688</v>
      </c>
      <c r="X9" s="43">
        <v>1</v>
      </c>
    </row>
    <row r="10" spans="1:24" x14ac:dyDescent="0.2">
      <c r="A10">
        <v>9</v>
      </c>
      <c r="B10" t="s">
        <v>102</v>
      </c>
      <c r="C10" t="s">
        <v>79</v>
      </c>
      <c r="D10" t="s">
        <v>94</v>
      </c>
      <c r="E10">
        <v>2211</v>
      </c>
      <c r="F10" s="4">
        <v>37144</v>
      </c>
      <c r="L10" s="27" t="str">
        <f t="shared" si="0"/>
        <v>Telog2109e (Pressure)2211</v>
      </c>
      <c r="N10"/>
      <c r="Q10" t="s">
        <v>79</v>
      </c>
      <c r="R10" t="s">
        <v>95</v>
      </c>
      <c r="S10" s="45">
        <v>4</v>
      </c>
      <c r="U10" s="39" t="s">
        <v>23</v>
      </c>
      <c r="V10" s="37" t="s">
        <v>92</v>
      </c>
      <c r="W10" s="37">
        <v>1027936</v>
      </c>
      <c r="X10" s="43">
        <v>1</v>
      </c>
    </row>
    <row r="11" spans="1:24" x14ac:dyDescent="0.2">
      <c r="A11">
        <v>10</v>
      </c>
      <c r="B11" t="s">
        <v>102</v>
      </c>
      <c r="C11" t="s">
        <v>79</v>
      </c>
      <c r="D11" t="s">
        <v>94</v>
      </c>
      <c r="E11">
        <v>3392</v>
      </c>
      <c r="L11" s="27" t="str">
        <f t="shared" si="0"/>
        <v>Telog2109e (Pressure)3392</v>
      </c>
      <c r="N11"/>
      <c r="Q11" t="s">
        <v>1394</v>
      </c>
      <c r="R11" t="s">
        <v>1394</v>
      </c>
      <c r="S11" s="45"/>
      <c r="U11" s="39" t="s">
        <v>23</v>
      </c>
      <c r="V11" s="39" t="s">
        <v>92</v>
      </c>
      <c r="W11" s="41">
        <v>1038069</v>
      </c>
      <c r="X11" s="44">
        <v>1</v>
      </c>
    </row>
    <row r="12" spans="1:24" x14ac:dyDescent="0.2">
      <c r="A12">
        <v>11</v>
      </c>
      <c r="B12" t="s">
        <v>103</v>
      </c>
      <c r="C12" t="s">
        <v>79</v>
      </c>
      <c r="D12" t="s">
        <v>95</v>
      </c>
      <c r="E12">
        <v>22071</v>
      </c>
      <c r="L12" s="27" t="str">
        <f t="shared" si="0"/>
        <v>TelogWLS3122071</v>
      </c>
      <c r="N12"/>
      <c r="U12" s="39" t="s">
        <v>23</v>
      </c>
      <c r="V12" s="39" t="s">
        <v>92</v>
      </c>
      <c r="W12" s="41">
        <v>1038582</v>
      </c>
      <c r="X12" s="44">
        <v>1</v>
      </c>
    </row>
    <row r="13" spans="1:24" x14ac:dyDescent="0.2">
      <c r="A13">
        <v>12</v>
      </c>
      <c r="B13" t="s">
        <v>103</v>
      </c>
      <c r="C13" t="s">
        <v>79</v>
      </c>
      <c r="D13" t="s">
        <v>95</v>
      </c>
      <c r="E13">
        <v>21914</v>
      </c>
      <c r="L13" s="27" t="str">
        <f t="shared" si="0"/>
        <v>TelogWLS3121914</v>
      </c>
      <c r="N13"/>
      <c r="U13" s="37" t="s">
        <v>79</v>
      </c>
      <c r="V13" s="37" t="s">
        <v>93</v>
      </c>
      <c r="W13" s="37">
        <v>13324</v>
      </c>
      <c r="X13" s="43">
        <v>1</v>
      </c>
    </row>
    <row r="14" spans="1:24" x14ac:dyDescent="0.2">
      <c r="A14">
        <v>13</v>
      </c>
      <c r="B14" t="s">
        <v>103</v>
      </c>
      <c r="C14" t="s">
        <v>79</v>
      </c>
      <c r="D14" t="s">
        <v>95</v>
      </c>
      <c r="E14">
        <v>22095</v>
      </c>
      <c r="L14" s="27" t="str">
        <f t="shared" si="0"/>
        <v>TelogWLS3122095</v>
      </c>
      <c r="N14"/>
      <c r="U14" s="39" t="s">
        <v>79</v>
      </c>
      <c r="V14" s="37" t="s">
        <v>94</v>
      </c>
      <c r="W14" s="37" t="s">
        <v>105</v>
      </c>
      <c r="X14" s="43">
        <v>1</v>
      </c>
    </row>
    <row r="15" spans="1:24" x14ac:dyDescent="0.2">
      <c r="A15">
        <v>14</v>
      </c>
      <c r="B15" t="s">
        <v>103</v>
      </c>
      <c r="C15" t="s">
        <v>79</v>
      </c>
      <c r="D15" t="s">
        <v>95</v>
      </c>
      <c r="E15">
        <v>22099</v>
      </c>
      <c r="L15" s="27" t="str">
        <f t="shared" si="0"/>
        <v>TelogWLS3122099</v>
      </c>
      <c r="U15" s="39" t="s">
        <v>79</v>
      </c>
      <c r="V15" s="39" t="s">
        <v>94</v>
      </c>
      <c r="W15" s="41" t="s">
        <v>56</v>
      </c>
      <c r="X15" s="44">
        <v>1</v>
      </c>
    </row>
    <row r="16" spans="1:24" x14ac:dyDescent="0.2">
      <c r="A16">
        <v>15</v>
      </c>
      <c r="B16" t="s">
        <v>104</v>
      </c>
      <c r="C16" t="s">
        <v>96</v>
      </c>
      <c r="D16" t="s">
        <v>97</v>
      </c>
      <c r="E16">
        <v>867579</v>
      </c>
      <c r="F16" s="4">
        <v>38460</v>
      </c>
      <c r="L16" s="27" t="str">
        <f t="shared" si="0"/>
        <v>OnsetU20-001-01867579</v>
      </c>
      <c r="U16" s="39" t="s">
        <v>79</v>
      </c>
      <c r="V16" s="37" t="s">
        <v>95</v>
      </c>
      <c r="W16" s="37">
        <v>21914</v>
      </c>
      <c r="X16" s="43">
        <v>1</v>
      </c>
    </row>
    <row r="17" spans="1:24" x14ac:dyDescent="0.2">
      <c r="A17">
        <v>16</v>
      </c>
      <c r="B17" t="s">
        <v>104</v>
      </c>
      <c r="C17" t="s">
        <v>96</v>
      </c>
      <c r="D17" t="s">
        <v>97</v>
      </c>
      <c r="E17">
        <v>867580</v>
      </c>
      <c r="F17" s="4">
        <v>38460</v>
      </c>
      <c r="L17" s="27" t="str">
        <f t="shared" si="0"/>
        <v>OnsetU20-001-01867580</v>
      </c>
      <c r="U17" s="39" t="s">
        <v>79</v>
      </c>
      <c r="V17" s="39" t="s">
        <v>95</v>
      </c>
      <c r="W17" s="41">
        <v>22071</v>
      </c>
      <c r="X17" s="44">
        <v>1</v>
      </c>
    </row>
    <row r="18" spans="1:24" x14ac:dyDescent="0.2">
      <c r="A18">
        <v>17</v>
      </c>
      <c r="B18" s="60" t="s">
        <v>1423</v>
      </c>
      <c r="C18" s="60" t="s">
        <v>1426</v>
      </c>
      <c r="D18" s="60" t="s">
        <v>1424</v>
      </c>
      <c r="E18">
        <v>41048</v>
      </c>
      <c r="L18" s="27" t="str">
        <f t="shared" si="0"/>
        <v>OdysseyCapacitive Water Level41048</v>
      </c>
      <c r="U18" s="39" t="s">
        <v>79</v>
      </c>
      <c r="V18" s="39" t="s">
        <v>95</v>
      </c>
      <c r="W18" s="41">
        <v>22095</v>
      </c>
      <c r="X18" s="44">
        <v>1</v>
      </c>
    </row>
    <row r="19" spans="1:24" x14ac:dyDescent="0.2">
      <c r="U19" s="39" t="s">
        <v>79</v>
      </c>
      <c r="V19" s="39" t="s">
        <v>95</v>
      </c>
      <c r="W19" s="41">
        <v>22099</v>
      </c>
      <c r="X19" s="44">
        <v>1</v>
      </c>
    </row>
    <row r="20" spans="1:24" x14ac:dyDescent="0.2">
      <c r="U20" s="61" t="s">
        <v>1394</v>
      </c>
      <c r="V20" s="61" t="s">
        <v>1394</v>
      </c>
      <c r="W20" s="61" t="s">
        <v>1394</v>
      </c>
      <c r="X20" s="62">
        <v>0</v>
      </c>
    </row>
  </sheetData>
  <phoneticPr fontId="1"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20"/>
  <sheetViews>
    <sheetView workbookViewId="0">
      <pane xSplit="1" ySplit="1" topLeftCell="B2" activePane="bottomRight" state="frozen"/>
      <selection pane="topRight" activeCell="B1" sqref="B1"/>
      <selection pane="bottomLeft" activeCell="A2" sqref="A2"/>
      <selection pane="bottomRight" sqref="A1:H18"/>
    </sheetView>
  </sheetViews>
  <sheetFormatPr defaultColWidth="8.85546875" defaultRowHeight="12.75" x14ac:dyDescent="0.2"/>
  <cols>
    <col min="1" max="1" width="12.85546875" bestFit="1" customWidth="1"/>
    <col min="2" max="2" width="11.7109375" bestFit="1" customWidth="1"/>
    <col min="3" max="4" width="18.42578125" bestFit="1" customWidth="1"/>
    <col min="5" max="5" width="21.85546875" bestFit="1" customWidth="1"/>
    <col min="6" max="6" width="9.42578125" bestFit="1" customWidth="1"/>
    <col min="7" max="7" width="12.7109375" bestFit="1" customWidth="1"/>
    <col min="8" max="8" width="11.7109375" bestFit="1" customWidth="1"/>
    <col min="9" max="10" width="2.42578125" customWidth="1"/>
    <col min="11" max="11" width="28.7109375" bestFit="1" customWidth="1"/>
    <col min="12" max="12" width="2.42578125" customWidth="1"/>
    <col min="13" max="13" width="20.7109375" bestFit="1" customWidth="1"/>
    <col min="14" max="14" width="5.42578125" customWidth="1"/>
    <col min="15" max="15" width="3.140625" customWidth="1"/>
    <col min="16" max="16" width="28.42578125" bestFit="1" customWidth="1"/>
    <col min="17" max="17" width="22.42578125" bestFit="1" customWidth="1"/>
    <col min="18" max="18" width="5.42578125" customWidth="1"/>
    <col min="19" max="19" width="2.7109375" customWidth="1"/>
    <col min="20" max="20" width="21.28515625" customWidth="1"/>
    <col min="21" max="21" width="22.42578125" bestFit="1" customWidth="1"/>
    <col min="22" max="22" width="20" bestFit="1" customWidth="1"/>
    <col min="23" max="23" width="5.42578125" customWidth="1"/>
    <col min="24" max="24" width="1.85546875" customWidth="1"/>
    <col min="25" max="25" width="21.28515625" bestFit="1" customWidth="1"/>
    <col min="26" max="26" width="22.42578125" bestFit="1" customWidth="1"/>
    <col min="27" max="27" width="17.28515625" bestFit="1" customWidth="1"/>
    <col min="28" max="28" width="12.140625" bestFit="1" customWidth="1"/>
    <col min="29" max="29" width="5.42578125" customWidth="1"/>
  </cols>
  <sheetData>
    <row r="1" spans="1:29" s="2" customFormat="1" ht="38.25" x14ac:dyDescent="0.2">
      <c r="A1" s="83" t="s">
        <v>1735</v>
      </c>
      <c r="B1" s="2" t="s">
        <v>71</v>
      </c>
      <c r="C1" s="83" t="s">
        <v>1736</v>
      </c>
      <c r="D1" s="83" t="s">
        <v>1737</v>
      </c>
      <c r="E1" s="83" t="s">
        <v>1738</v>
      </c>
      <c r="F1" s="83" t="s">
        <v>1739</v>
      </c>
      <c r="G1" s="2" t="s">
        <v>73</v>
      </c>
      <c r="H1" s="59" t="s">
        <v>1416</v>
      </c>
      <c r="K1" s="27" t="s">
        <v>1389</v>
      </c>
      <c r="M1" s="50" t="s">
        <v>1396</v>
      </c>
      <c r="N1"/>
      <c r="O1"/>
      <c r="P1" s="50" t="s">
        <v>1397</v>
      </c>
      <c r="Q1"/>
      <c r="R1"/>
      <c r="S1"/>
      <c r="T1" s="50" t="s">
        <v>1400</v>
      </c>
      <c r="U1"/>
      <c r="V1"/>
      <c r="W1"/>
      <c r="Y1" s="50" t="s">
        <v>1401</v>
      </c>
      <c r="Z1"/>
      <c r="AA1"/>
      <c r="AB1"/>
      <c r="AC1"/>
    </row>
    <row r="2" spans="1:29" x14ac:dyDescent="0.2">
      <c r="A2">
        <v>1</v>
      </c>
      <c r="B2" t="s">
        <v>98</v>
      </c>
      <c r="C2" t="s">
        <v>338</v>
      </c>
      <c r="D2" t="s">
        <v>80</v>
      </c>
      <c r="E2" t="s">
        <v>16</v>
      </c>
      <c r="F2">
        <v>1762</v>
      </c>
      <c r="G2" s="4"/>
      <c r="K2" s="27" t="str">
        <f>CONCATENATE(D2,E2,F2)</f>
        <v>In-SituminiTROLL1762</v>
      </c>
      <c r="M2" s="50" t="s">
        <v>3</v>
      </c>
      <c r="N2" t="s">
        <v>1391</v>
      </c>
      <c r="P2" s="50" t="s">
        <v>3</v>
      </c>
      <c r="Q2" s="50" t="s">
        <v>76</v>
      </c>
      <c r="R2" t="s">
        <v>1391</v>
      </c>
      <c r="T2" s="50" t="s">
        <v>3</v>
      </c>
      <c r="U2" s="50" t="s">
        <v>76</v>
      </c>
      <c r="V2" s="50" t="s">
        <v>77</v>
      </c>
      <c r="W2" t="s">
        <v>1391</v>
      </c>
      <c r="Y2" s="50" t="s">
        <v>3</v>
      </c>
      <c r="Z2" s="50" t="s">
        <v>76</v>
      </c>
      <c r="AA2" s="50" t="s">
        <v>77</v>
      </c>
      <c r="AB2" s="50" t="s">
        <v>2</v>
      </c>
      <c r="AC2" t="s">
        <v>1391</v>
      </c>
    </row>
    <row r="3" spans="1:29" x14ac:dyDescent="0.2">
      <c r="A3">
        <v>2</v>
      </c>
      <c r="B3" t="s">
        <v>98</v>
      </c>
      <c r="C3" t="s">
        <v>338</v>
      </c>
      <c r="D3" t="s">
        <v>80</v>
      </c>
      <c r="E3" t="s">
        <v>16</v>
      </c>
      <c r="F3">
        <v>1876</v>
      </c>
      <c r="G3" s="4"/>
      <c r="K3" s="27" t="str">
        <f t="shared" ref="K3:K18" si="0">CONCATENATE(D3,E3,F3)</f>
        <v>In-SituminiTROLL1876</v>
      </c>
      <c r="M3" t="s">
        <v>1425</v>
      </c>
      <c r="N3" s="45">
        <v>1</v>
      </c>
      <c r="P3" t="s">
        <v>1425</v>
      </c>
      <c r="Q3" t="s">
        <v>1426</v>
      </c>
      <c r="R3" s="45">
        <v>1</v>
      </c>
      <c r="T3" t="s">
        <v>1425</v>
      </c>
      <c r="U3" t="s">
        <v>1426</v>
      </c>
      <c r="V3" t="s">
        <v>1424</v>
      </c>
      <c r="W3" s="45">
        <v>1</v>
      </c>
      <c r="Y3" t="s">
        <v>1425</v>
      </c>
      <c r="Z3" t="s">
        <v>1426</v>
      </c>
      <c r="AA3" t="s">
        <v>1424</v>
      </c>
      <c r="AB3">
        <v>41048</v>
      </c>
      <c r="AC3" s="45">
        <v>1</v>
      </c>
    </row>
    <row r="4" spans="1:29" x14ac:dyDescent="0.2">
      <c r="A4">
        <v>3</v>
      </c>
      <c r="B4" t="s">
        <v>98</v>
      </c>
      <c r="C4" t="s">
        <v>338</v>
      </c>
      <c r="D4" t="s">
        <v>80</v>
      </c>
      <c r="E4" t="s">
        <v>16</v>
      </c>
      <c r="F4">
        <v>1902</v>
      </c>
      <c r="G4" s="4"/>
      <c r="K4" s="27" t="str">
        <f t="shared" si="0"/>
        <v>In-SituminiTROLL1902</v>
      </c>
      <c r="M4" t="s">
        <v>518</v>
      </c>
      <c r="N4" s="45">
        <v>1</v>
      </c>
      <c r="P4" t="s">
        <v>518</v>
      </c>
      <c r="Q4" t="s">
        <v>1398</v>
      </c>
      <c r="R4" s="45">
        <v>1</v>
      </c>
      <c r="T4" t="s">
        <v>518</v>
      </c>
      <c r="U4" t="s">
        <v>1398</v>
      </c>
      <c r="V4">
        <v>535</v>
      </c>
      <c r="W4" s="45">
        <v>1</v>
      </c>
      <c r="Y4" t="s">
        <v>518</v>
      </c>
      <c r="Z4" t="s">
        <v>1398</v>
      </c>
      <c r="AA4">
        <v>535</v>
      </c>
      <c r="AB4" t="s">
        <v>1399</v>
      </c>
      <c r="AC4" s="45">
        <v>1</v>
      </c>
    </row>
    <row r="5" spans="1:29" x14ac:dyDescent="0.2">
      <c r="A5">
        <v>4</v>
      </c>
      <c r="B5" t="s">
        <v>99</v>
      </c>
      <c r="C5" t="s">
        <v>338</v>
      </c>
      <c r="D5" t="s">
        <v>23</v>
      </c>
      <c r="E5" t="s">
        <v>91</v>
      </c>
      <c r="F5">
        <v>1026688</v>
      </c>
      <c r="G5" s="4"/>
      <c r="K5" s="27" t="str">
        <f t="shared" si="0"/>
        <v>SolinstBaroLogger Gold1026688</v>
      </c>
      <c r="M5" t="s">
        <v>338</v>
      </c>
      <c r="N5" s="45">
        <v>15</v>
      </c>
      <c r="P5" t="s">
        <v>338</v>
      </c>
      <c r="Q5" t="s">
        <v>80</v>
      </c>
      <c r="R5" s="45">
        <v>3</v>
      </c>
      <c r="T5" t="s">
        <v>338</v>
      </c>
      <c r="U5" t="s">
        <v>80</v>
      </c>
      <c r="V5" t="s">
        <v>16</v>
      </c>
      <c r="W5" s="45">
        <v>3</v>
      </c>
      <c r="Y5" t="s">
        <v>338</v>
      </c>
      <c r="Z5" t="s">
        <v>80</v>
      </c>
      <c r="AA5" t="s">
        <v>16</v>
      </c>
      <c r="AB5">
        <v>1762</v>
      </c>
      <c r="AC5" s="45">
        <v>1</v>
      </c>
    </row>
    <row r="6" spans="1:29" x14ac:dyDescent="0.2">
      <c r="A6">
        <v>5</v>
      </c>
      <c r="B6" t="s">
        <v>100</v>
      </c>
      <c r="C6" t="s">
        <v>338</v>
      </c>
      <c r="D6" t="s">
        <v>23</v>
      </c>
      <c r="E6" t="s">
        <v>92</v>
      </c>
      <c r="F6">
        <v>1027936</v>
      </c>
      <c r="G6" s="4"/>
      <c r="K6" s="27" t="str">
        <f t="shared" si="0"/>
        <v>SolinstLevelLogger Gold1027936</v>
      </c>
      <c r="M6" t="s">
        <v>1394</v>
      </c>
      <c r="N6" s="45"/>
      <c r="P6" t="s">
        <v>338</v>
      </c>
      <c r="Q6" t="s">
        <v>96</v>
      </c>
      <c r="R6" s="45">
        <v>2</v>
      </c>
      <c r="T6" t="s">
        <v>338</v>
      </c>
      <c r="U6" t="s">
        <v>96</v>
      </c>
      <c r="V6" t="s">
        <v>97</v>
      </c>
      <c r="W6" s="45">
        <v>2</v>
      </c>
      <c r="Y6" t="s">
        <v>338</v>
      </c>
      <c r="Z6" t="s">
        <v>80</v>
      </c>
      <c r="AA6" t="s">
        <v>16</v>
      </c>
      <c r="AB6">
        <v>1876</v>
      </c>
      <c r="AC6" s="45">
        <v>1</v>
      </c>
    </row>
    <row r="7" spans="1:29" x14ac:dyDescent="0.2">
      <c r="A7">
        <v>6</v>
      </c>
      <c r="B7" t="s">
        <v>100</v>
      </c>
      <c r="C7" t="s">
        <v>338</v>
      </c>
      <c r="D7" t="s">
        <v>23</v>
      </c>
      <c r="E7" t="s">
        <v>92</v>
      </c>
      <c r="F7">
        <v>1038069</v>
      </c>
      <c r="G7" s="4">
        <v>39840</v>
      </c>
      <c r="K7" s="27" t="str">
        <f t="shared" si="0"/>
        <v>SolinstLevelLogger Gold1038069</v>
      </c>
      <c r="P7" t="s">
        <v>338</v>
      </c>
      <c r="Q7" t="s">
        <v>23</v>
      </c>
      <c r="R7" s="45">
        <v>4</v>
      </c>
      <c r="T7" t="s">
        <v>338</v>
      </c>
      <c r="U7" t="s">
        <v>23</v>
      </c>
      <c r="V7" t="s">
        <v>91</v>
      </c>
      <c r="W7" s="45">
        <v>1</v>
      </c>
      <c r="Y7" t="s">
        <v>338</v>
      </c>
      <c r="Z7" t="s">
        <v>80</v>
      </c>
      <c r="AA7" t="s">
        <v>16</v>
      </c>
      <c r="AB7">
        <v>1902</v>
      </c>
      <c r="AC7" s="45">
        <v>1</v>
      </c>
    </row>
    <row r="8" spans="1:29" x14ac:dyDescent="0.2">
      <c r="A8">
        <v>7</v>
      </c>
      <c r="B8" t="s">
        <v>100</v>
      </c>
      <c r="C8" t="s">
        <v>338</v>
      </c>
      <c r="D8" t="s">
        <v>23</v>
      </c>
      <c r="E8" t="s">
        <v>92</v>
      </c>
      <c r="F8">
        <v>1038582</v>
      </c>
      <c r="G8" s="4">
        <v>39840</v>
      </c>
      <c r="K8" s="27" t="str">
        <f t="shared" si="0"/>
        <v>SolinstLevelLogger Gold1038582</v>
      </c>
      <c r="P8" t="s">
        <v>338</v>
      </c>
      <c r="Q8" t="s">
        <v>79</v>
      </c>
      <c r="R8" s="45">
        <v>6</v>
      </c>
      <c r="T8" t="s">
        <v>338</v>
      </c>
      <c r="U8" t="s">
        <v>23</v>
      </c>
      <c r="V8" t="s">
        <v>92</v>
      </c>
      <c r="W8" s="45">
        <v>3</v>
      </c>
      <c r="Y8" t="s">
        <v>338</v>
      </c>
      <c r="Z8" t="s">
        <v>96</v>
      </c>
      <c r="AA8" t="s">
        <v>97</v>
      </c>
      <c r="AB8">
        <v>867579</v>
      </c>
      <c r="AC8" s="45">
        <v>1</v>
      </c>
    </row>
    <row r="9" spans="1:29" x14ac:dyDescent="0.2">
      <c r="A9">
        <v>8</v>
      </c>
      <c r="B9" t="s">
        <v>101</v>
      </c>
      <c r="C9" t="s">
        <v>518</v>
      </c>
      <c r="D9" t="s">
        <v>1398</v>
      </c>
      <c r="E9">
        <v>830</v>
      </c>
      <c r="F9">
        <v>9806</v>
      </c>
      <c r="G9" s="4"/>
      <c r="K9" s="27" t="str">
        <f t="shared" si="0"/>
        <v>Spectrol8309806</v>
      </c>
      <c r="P9" t="s">
        <v>1394</v>
      </c>
      <c r="Q9" t="s">
        <v>1394</v>
      </c>
      <c r="R9" s="45"/>
      <c r="T9" t="s">
        <v>338</v>
      </c>
      <c r="U9" t="s">
        <v>79</v>
      </c>
      <c r="V9" t="s">
        <v>94</v>
      </c>
      <c r="W9" s="45">
        <v>1</v>
      </c>
      <c r="Y9" t="s">
        <v>338</v>
      </c>
      <c r="Z9" t="s">
        <v>96</v>
      </c>
      <c r="AA9" t="s">
        <v>97</v>
      </c>
      <c r="AB9">
        <v>867580</v>
      </c>
      <c r="AC9" s="45">
        <v>1</v>
      </c>
    </row>
    <row r="10" spans="1:29" x14ac:dyDescent="0.2">
      <c r="A10">
        <v>9</v>
      </c>
      <c r="B10" t="s">
        <v>102</v>
      </c>
      <c r="C10" t="s">
        <v>338</v>
      </c>
      <c r="D10" t="s">
        <v>79</v>
      </c>
      <c r="E10" t="s">
        <v>1415</v>
      </c>
      <c r="F10">
        <v>1499119</v>
      </c>
      <c r="G10" s="4">
        <v>37078</v>
      </c>
      <c r="K10" s="27" t="str">
        <f t="shared" si="0"/>
        <v>TelogPDCR 1830 (5psi)1499119</v>
      </c>
      <c r="T10" t="s">
        <v>338</v>
      </c>
      <c r="U10" t="s">
        <v>79</v>
      </c>
      <c r="V10" t="s">
        <v>1414</v>
      </c>
      <c r="W10" s="45">
        <v>1</v>
      </c>
      <c r="Y10" t="s">
        <v>338</v>
      </c>
      <c r="Z10" t="s">
        <v>23</v>
      </c>
      <c r="AA10" t="s">
        <v>91</v>
      </c>
      <c r="AB10">
        <v>1026688</v>
      </c>
      <c r="AC10" s="45">
        <v>1</v>
      </c>
    </row>
    <row r="11" spans="1:29" x14ac:dyDescent="0.2">
      <c r="A11">
        <v>10</v>
      </c>
      <c r="B11" t="s">
        <v>102</v>
      </c>
      <c r="C11" t="s">
        <v>338</v>
      </c>
      <c r="D11" t="s">
        <v>79</v>
      </c>
      <c r="E11" t="s">
        <v>1431</v>
      </c>
      <c r="F11">
        <v>1813395</v>
      </c>
      <c r="G11" s="4"/>
      <c r="K11" s="27" t="str">
        <f t="shared" si="0"/>
        <v>TelogPDCR 1830-8335 (5psi)1813395</v>
      </c>
      <c r="T11" t="s">
        <v>338</v>
      </c>
      <c r="U11" t="s">
        <v>79</v>
      </c>
      <c r="V11" t="s">
        <v>1415</v>
      </c>
      <c r="W11" s="45">
        <v>3</v>
      </c>
      <c r="Y11" t="s">
        <v>338</v>
      </c>
      <c r="Z11" t="s">
        <v>23</v>
      </c>
      <c r="AA11" t="s">
        <v>92</v>
      </c>
      <c r="AB11">
        <v>1027936</v>
      </c>
      <c r="AC11" s="45">
        <v>1</v>
      </c>
    </row>
    <row r="12" spans="1:29" x14ac:dyDescent="0.2">
      <c r="A12">
        <v>11</v>
      </c>
      <c r="B12" t="s">
        <v>103</v>
      </c>
      <c r="C12" t="s">
        <v>338</v>
      </c>
      <c r="D12" t="s">
        <v>79</v>
      </c>
      <c r="E12" t="s">
        <v>1431</v>
      </c>
      <c r="F12">
        <v>2002064</v>
      </c>
      <c r="G12" s="4"/>
      <c r="K12" s="27" t="str">
        <f t="shared" si="0"/>
        <v>TelogPDCR 1830-8335 (5psi)2002064</v>
      </c>
      <c r="T12" t="s">
        <v>338</v>
      </c>
      <c r="U12" t="s">
        <v>79</v>
      </c>
      <c r="V12" t="s">
        <v>1417</v>
      </c>
      <c r="W12" s="45">
        <v>1</v>
      </c>
      <c r="Y12" t="s">
        <v>338</v>
      </c>
      <c r="Z12" t="s">
        <v>23</v>
      </c>
      <c r="AA12" t="s">
        <v>92</v>
      </c>
      <c r="AB12">
        <v>1038069</v>
      </c>
      <c r="AC12" s="45">
        <v>1</v>
      </c>
    </row>
    <row r="13" spans="1:29" x14ac:dyDescent="0.2">
      <c r="A13">
        <v>12</v>
      </c>
      <c r="B13" t="s">
        <v>103</v>
      </c>
      <c r="C13" t="s">
        <v>338</v>
      </c>
      <c r="D13" t="s">
        <v>79</v>
      </c>
      <c r="E13" t="s">
        <v>1430</v>
      </c>
      <c r="F13">
        <v>1813395</v>
      </c>
      <c r="G13" s="4">
        <v>37978</v>
      </c>
      <c r="K13" s="27" t="str">
        <f t="shared" si="0"/>
        <v>TelogPDCR 1830-8335 (30psi)1813395</v>
      </c>
      <c r="T13" t="s">
        <v>1394</v>
      </c>
      <c r="U13" t="s">
        <v>1394</v>
      </c>
      <c r="V13" t="s">
        <v>1394</v>
      </c>
      <c r="W13" s="45"/>
      <c r="Y13" t="s">
        <v>338</v>
      </c>
      <c r="Z13" t="s">
        <v>23</v>
      </c>
      <c r="AA13" t="s">
        <v>92</v>
      </c>
      <c r="AB13">
        <v>1038582</v>
      </c>
      <c r="AC13" s="45">
        <v>1</v>
      </c>
    </row>
    <row r="14" spans="1:29" x14ac:dyDescent="0.2">
      <c r="A14">
        <v>13</v>
      </c>
      <c r="B14" t="s">
        <v>103</v>
      </c>
      <c r="C14" t="s">
        <v>338</v>
      </c>
      <c r="D14" t="s">
        <v>79</v>
      </c>
      <c r="E14" t="s">
        <v>1431</v>
      </c>
      <c r="F14">
        <v>2037684</v>
      </c>
      <c r="G14" s="4"/>
      <c r="K14" s="27" t="str">
        <f t="shared" si="0"/>
        <v>TelogPDCR 1830-8335 (5psi)2037684</v>
      </c>
      <c r="Y14" t="s">
        <v>338</v>
      </c>
      <c r="Z14" t="s">
        <v>79</v>
      </c>
      <c r="AA14" t="s">
        <v>94</v>
      </c>
      <c r="AB14" t="s">
        <v>105</v>
      </c>
      <c r="AC14" s="45">
        <v>1</v>
      </c>
    </row>
    <row r="15" spans="1:29" x14ac:dyDescent="0.2">
      <c r="A15">
        <v>14</v>
      </c>
      <c r="B15" t="s">
        <v>103</v>
      </c>
      <c r="C15" t="s">
        <v>338</v>
      </c>
      <c r="D15" t="s">
        <v>79</v>
      </c>
      <c r="E15" t="s">
        <v>1431</v>
      </c>
      <c r="F15">
        <v>2037685</v>
      </c>
      <c r="G15" s="4">
        <v>38271</v>
      </c>
      <c r="K15" s="27" t="str">
        <f t="shared" si="0"/>
        <v>TelogPDCR 1830-8335 (5psi)2037685</v>
      </c>
      <c r="Y15" t="s">
        <v>338</v>
      </c>
      <c r="Z15" t="s">
        <v>79</v>
      </c>
      <c r="AA15" t="s">
        <v>1414</v>
      </c>
      <c r="AB15">
        <v>1813395</v>
      </c>
      <c r="AC15" s="45">
        <v>1</v>
      </c>
    </row>
    <row r="16" spans="1:29" x14ac:dyDescent="0.2">
      <c r="A16">
        <v>15</v>
      </c>
      <c r="B16" t="s">
        <v>104</v>
      </c>
      <c r="C16" t="s">
        <v>338</v>
      </c>
      <c r="D16" t="s">
        <v>96</v>
      </c>
      <c r="E16" t="s">
        <v>97</v>
      </c>
      <c r="F16">
        <v>867579</v>
      </c>
      <c r="G16" s="4">
        <v>38460</v>
      </c>
      <c r="K16" s="27" t="str">
        <f t="shared" si="0"/>
        <v>OnsetU20-001-01867579</v>
      </c>
      <c r="Y16" t="s">
        <v>338</v>
      </c>
      <c r="Z16" t="s">
        <v>79</v>
      </c>
      <c r="AA16" t="s">
        <v>1415</v>
      </c>
      <c r="AB16">
        <v>2002064</v>
      </c>
      <c r="AC16" s="45">
        <v>1</v>
      </c>
    </row>
    <row r="17" spans="1:29" x14ac:dyDescent="0.2">
      <c r="A17">
        <v>16</v>
      </c>
      <c r="B17" t="s">
        <v>104</v>
      </c>
      <c r="C17" t="s">
        <v>338</v>
      </c>
      <c r="D17" t="s">
        <v>96</v>
      </c>
      <c r="E17" t="s">
        <v>97</v>
      </c>
      <c r="F17">
        <v>867580</v>
      </c>
      <c r="G17" s="4">
        <v>38460</v>
      </c>
      <c r="K17" s="27" t="str">
        <f t="shared" si="0"/>
        <v>OnsetU20-001-01867580</v>
      </c>
      <c r="Y17" t="s">
        <v>338</v>
      </c>
      <c r="Z17" t="s">
        <v>79</v>
      </c>
      <c r="AA17" t="s">
        <v>1415</v>
      </c>
      <c r="AB17">
        <v>2037684</v>
      </c>
      <c r="AC17" s="45">
        <v>1</v>
      </c>
    </row>
    <row r="18" spans="1:29" x14ac:dyDescent="0.2">
      <c r="A18">
        <v>17</v>
      </c>
      <c r="B18" s="60" t="s">
        <v>1423</v>
      </c>
      <c r="C18" s="60" t="s">
        <v>1425</v>
      </c>
      <c r="D18" s="60" t="s">
        <v>1426</v>
      </c>
      <c r="E18" s="60" t="s">
        <v>1424</v>
      </c>
      <c r="F18">
        <v>41048</v>
      </c>
      <c r="K18" s="27" t="str">
        <f t="shared" si="0"/>
        <v>OdysseyCapacitive Water Level41048</v>
      </c>
      <c r="Y18" t="s">
        <v>338</v>
      </c>
      <c r="Z18" t="s">
        <v>79</v>
      </c>
      <c r="AA18" t="s">
        <v>1415</v>
      </c>
      <c r="AB18">
        <v>2037685</v>
      </c>
      <c r="AC18" s="45">
        <v>1</v>
      </c>
    </row>
    <row r="19" spans="1:29" x14ac:dyDescent="0.2">
      <c r="Y19" t="s">
        <v>338</v>
      </c>
      <c r="Z19" t="s">
        <v>79</v>
      </c>
      <c r="AA19" t="s">
        <v>1417</v>
      </c>
      <c r="AB19">
        <v>1813395</v>
      </c>
      <c r="AC19" s="45">
        <v>1</v>
      </c>
    </row>
    <row r="20" spans="1:29" x14ac:dyDescent="0.2">
      <c r="Y20" t="s">
        <v>1394</v>
      </c>
      <c r="Z20" t="s">
        <v>1394</v>
      </c>
      <c r="AA20" t="s">
        <v>1394</v>
      </c>
      <c r="AB20" t="s">
        <v>1394</v>
      </c>
      <c r="AC20" s="45"/>
    </row>
  </sheetData>
  <phoneticPr fontId="1"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256"/>
  <sheetViews>
    <sheetView zoomScale="115" zoomScaleNormal="115" zoomScalePageLayoutView="115" workbookViewId="0">
      <pane xSplit="1" ySplit="1" topLeftCell="B2" activePane="bottomRight" state="frozen"/>
      <selection pane="topRight" activeCell="B1" sqref="B1"/>
      <selection pane="bottomLeft" activeCell="A2" sqref="A2"/>
      <selection pane="bottomRight" activeCell="F254" sqref="A1:F254"/>
    </sheetView>
  </sheetViews>
  <sheetFormatPr defaultColWidth="8.85546875" defaultRowHeight="12.75" x14ac:dyDescent="0.2"/>
  <cols>
    <col min="1" max="1" width="10.28515625" bestFit="1" customWidth="1"/>
    <col min="2" max="2" width="38.42578125" bestFit="1" customWidth="1"/>
    <col min="3" max="3" width="38.42578125" customWidth="1"/>
    <col min="4" max="4" width="81.28515625" style="2" bestFit="1" customWidth="1"/>
    <col min="5" max="5" width="9.7109375" bestFit="1" customWidth="1"/>
    <col min="6" max="6" width="21.7109375" customWidth="1"/>
    <col min="7" max="7" width="3.42578125" customWidth="1"/>
    <col min="8" max="8" width="22.28515625" bestFit="1" customWidth="1"/>
    <col min="9" max="9" width="5.42578125" customWidth="1"/>
    <col min="10" max="10" width="4.42578125" customWidth="1"/>
    <col min="11" max="11" width="45.140625" bestFit="1" customWidth="1"/>
    <col min="12" max="12" width="38.42578125" bestFit="1" customWidth="1"/>
    <col min="13" max="13" width="5.42578125" bestFit="1" customWidth="1"/>
  </cols>
  <sheetData>
    <row r="1" spans="1:13" s="2" customFormat="1" x14ac:dyDescent="0.2">
      <c r="A1" s="2" t="s">
        <v>114</v>
      </c>
      <c r="B1" s="2" t="s">
        <v>115</v>
      </c>
      <c r="C1" s="83" t="s">
        <v>1754</v>
      </c>
      <c r="D1" s="2" t="s">
        <v>137</v>
      </c>
      <c r="E1" t="s">
        <v>890</v>
      </c>
      <c r="F1" t="s">
        <v>891</v>
      </c>
      <c r="H1" s="50" t="s">
        <v>1405</v>
      </c>
      <c r="I1"/>
      <c r="J1"/>
      <c r="K1" s="50" t="s">
        <v>1405</v>
      </c>
      <c r="L1"/>
      <c r="M1"/>
    </row>
    <row r="2" spans="1:13" x14ac:dyDescent="0.2">
      <c r="A2">
        <v>1</v>
      </c>
      <c r="B2" t="s">
        <v>1335</v>
      </c>
      <c r="C2" s="60" t="s">
        <v>267</v>
      </c>
      <c r="D2" s="2" t="s">
        <v>1336</v>
      </c>
      <c r="H2" s="50" t="s">
        <v>1403</v>
      </c>
      <c r="I2" t="s">
        <v>1391</v>
      </c>
      <c r="K2" s="50" t="s">
        <v>1403</v>
      </c>
      <c r="L2" s="50" t="s">
        <v>115</v>
      </c>
      <c r="M2" t="s">
        <v>1391</v>
      </c>
    </row>
    <row r="3" spans="1:13" x14ac:dyDescent="0.2">
      <c r="A3">
        <v>2</v>
      </c>
      <c r="B3" t="s">
        <v>1337</v>
      </c>
      <c r="C3" t="s">
        <v>338</v>
      </c>
      <c r="D3" s="2" t="s">
        <v>1338</v>
      </c>
      <c r="H3" t="s">
        <v>171</v>
      </c>
      <c r="I3" s="45">
        <v>3</v>
      </c>
      <c r="K3" t="s">
        <v>171</v>
      </c>
      <c r="L3" t="s">
        <v>1075</v>
      </c>
      <c r="M3" s="45">
        <v>1</v>
      </c>
    </row>
    <row r="4" spans="1:13" x14ac:dyDescent="0.2">
      <c r="A4">
        <v>3</v>
      </c>
      <c r="B4" t="s">
        <v>892</v>
      </c>
      <c r="C4" t="s">
        <v>585</v>
      </c>
      <c r="D4" s="2" t="s">
        <v>893</v>
      </c>
      <c r="E4" t="s">
        <v>894</v>
      </c>
      <c r="H4" t="s">
        <v>655</v>
      </c>
      <c r="I4" s="45">
        <v>1</v>
      </c>
      <c r="K4" t="s">
        <v>171</v>
      </c>
      <c r="L4" t="s">
        <v>1084</v>
      </c>
      <c r="M4" s="45">
        <v>1</v>
      </c>
    </row>
    <row r="5" spans="1:13" x14ac:dyDescent="0.2">
      <c r="A5">
        <v>4</v>
      </c>
      <c r="B5" t="s">
        <v>895</v>
      </c>
      <c r="C5" t="s">
        <v>585</v>
      </c>
      <c r="D5" s="2" t="s">
        <v>896</v>
      </c>
      <c r="E5" t="s">
        <v>894</v>
      </c>
      <c r="H5" t="s">
        <v>585</v>
      </c>
      <c r="I5" s="45">
        <v>117</v>
      </c>
      <c r="K5" t="s">
        <v>171</v>
      </c>
      <c r="L5" t="s">
        <v>1324</v>
      </c>
      <c r="M5" s="45">
        <v>1</v>
      </c>
    </row>
    <row r="6" spans="1:13" ht="25.5" x14ac:dyDescent="0.2">
      <c r="A6">
        <v>5</v>
      </c>
      <c r="B6" t="s">
        <v>107</v>
      </c>
      <c r="C6" t="s">
        <v>338</v>
      </c>
      <c r="D6" s="2" t="s">
        <v>1344</v>
      </c>
      <c r="H6" t="s">
        <v>1019</v>
      </c>
      <c r="I6" s="45">
        <v>1</v>
      </c>
      <c r="K6" t="s">
        <v>655</v>
      </c>
      <c r="L6" t="s">
        <v>655</v>
      </c>
      <c r="M6" s="45">
        <v>1</v>
      </c>
    </row>
    <row r="7" spans="1:13" ht="25.5" x14ac:dyDescent="0.2">
      <c r="A7">
        <v>6</v>
      </c>
      <c r="B7" t="s">
        <v>1341</v>
      </c>
      <c r="C7" t="s">
        <v>267</v>
      </c>
      <c r="D7" s="2" t="s">
        <v>1343</v>
      </c>
      <c r="H7" t="s">
        <v>168</v>
      </c>
      <c r="I7" s="45">
        <v>16</v>
      </c>
      <c r="K7" t="s">
        <v>585</v>
      </c>
      <c r="L7" t="s">
        <v>892</v>
      </c>
      <c r="M7" s="45">
        <v>1</v>
      </c>
    </row>
    <row r="8" spans="1:13" x14ac:dyDescent="0.2">
      <c r="A8">
        <v>7</v>
      </c>
      <c r="B8" t="s">
        <v>897</v>
      </c>
      <c r="C8" t="s">
        <v>585</v>
      </c>
      <c r="D8" s="2" t="s">
        <v>898</v>
      </c>
      <c r="E8" t="s">
        <v>894</v>
      </c>
      <c r="H8" t="s">
        <v>570</v>
      </c>
      <c r="I8" s="45">
        <v>2</v>
      </c>
      <c r="K8" t="s">
        <v>585</v>
      </c>
      <c r="L8" t="s">
        <v>895</v>
      </c>
      <c r="M8" s="45">
        <v>1</v>
      </c>
    </row>
    <row r="9" spans="1:13" x14ac:dyDescent="0.2">
      <c r="A9">
        <v>8</v>
      </c>
      <c r="B9" t="s">
        <v>899</v>
      </c>
      <c r="C9" s="60" t="s">
        <v>168</v>
      </c>
      <c r="D9" s="2" t="s">
        <v>900</v>
      </c>
      <c r="E9" t="s">
        <v>894</v>
      </c>
      <c r="H9" t="s">
        <v>212</v>
      </c>
      <c r="I9" s="45">
        <v>1</v>
      </c>
      <c r="K9" t="s">
        <v>585</v>
      </c>
      <c r="L9" t="s">
        <v>897</v>
      </c>
      <c r="M9" s="45">
        <v>1</v>
      </c>
    </row>
    <row r="10" spans="1:13" x14ac:dyDescent="0.2">
      <c r="A10">
        <v>9</v>
      </c>
      <c r="B10" t="s">
        <v>901</v>
      </c>
      <c r="D10" s="2" t="s">
        <v>902</v>
      </c>
      <c r="E10" t="s">
        <v>894</v>
      </c>
      <c r="H10" t="s">
        <v>226</v>
      </c>
      <c r="I10" s="45">
        <v>3</v>
      </c>
      <c r="K10" t="s">
        <v>585</v>
      </c>
      <c r="L10" t="s">
        <v>903</v>
      </c>
      <c r="M10" s="45">
        <v>1</v>
      </c>
    </row>
    <row r="11" spans="1:13" x14ac:dyDescent="0.2">
      <c r="A11">
        <v>10</v>
      </c>
      <c r="B11" t="s">
        <v>903</v>
      </c>
      <c r="C11" t="s">
        <v>585</v>
      </c>
      <c r="D11" s="2" t="s">
        <v>904</v>
      </c>
      <c r="E11" t="s">
        <v>894</v>
      </c>
      <c r="H11" t="s">
        <v>239</v>
      </c>
      <c r="I11" s="45">
        <v>3</v>
      </c>
      <c r="K11" t="s">
        <v>585</v>
      </c>
      <c r="L11" t="s">
        <v>905</v>
      </c>
      <c r="M11" s="45">
        <v>1</v>
      </c>
    </row>
    <row r="12" spans="1:13" x14ac:dyDescent="0.2">
      <c r="A12">
        <v>11</v>
      </c>
      <c r="B12" t="s">
        <v>905</v>
      </c>
      <c r="C12" t="s">
        <v>585</v>
      </c>
      <c r="D12" s="2" t="s">
        <v>906</v>
      </c>
      <c r="E12" t="s">
        <v>894</v>
      </c>
      <c r="H12" t="s">
        <v>1404</v>
      </c>
      <c r="I12" s="45">
        <v>3</v>
      </c>
      <c r="K12" t="s">
        <v>585</v>
      </c>
      <c r="L12" t="s">
        <v>907</v>
      </c>
      <c r="M12" s="45">
        <v>1</v>
      </c>
    </row>
    <row r="13" spans="1:13" x14ac:dyDescent="0.2">
      <c r="A13">
        <v>12</v>
      </c>
      <c r="B13" t="s">
        <v>907</v>
      </c>
      <c r="C13" t="s">
        <v>585</v>
      </c>
      <c r="D13" s="2" t="s">
        <v>907</v>
      </c>
      <c r="E13" t="s">
        <v>894</v>
      </c>
      <c r="H13" t="s">
        <v>267</v>
      </c>
      <c r="I13" s="45">
        <v>10</v>
      </c>
      <c r="K13" t="s">
        <v>585</v>
      </c>
      <c r="L13" t="s">
        <v>908</v>
      </c>
      <c r="M13" s="45">
        <v>1</v>
      </c>
    </row>
    <row r="14" spans="1:13" x14ac:dyDescent="0.2">
      <c r="A14">
        <v>13</v>
      </c>
      <c r="B14" t="s">
        <v>908</v>
      </c>
      <c r="C14" t="s">
        <v>585</v>
      </c>
      <c r="D14" s="2" t="s">
        <v>909</v>
      </c>
      <c r="E14" t="s">
        <v>894</v>
      </c>
      <c r="H14" t="s">
        <v>291</v>
      </c>
      <c r="I14" s="45">
        <v>14</v>
      </c>
      <c r="K14" t="s">
        <v>585</v>
      </c>
      <c r="L14" t="s">
        <v>910</v>
      </c>
      <c r="M14" s="45">
        <v>1</v>
      </c>
    </row>
    <row r="15" spans="1:13" x14ac:dyDescent="0.2">
      <c r="A15">
        <v>14</v>
      </c>
      <c r="B15" t="s">
        <v>910</v>
      </c>
      <c r="C15" t="s">
        <v>585</v>
      </c>
      <c r="D15" s="2" t="s">
        <v>911</v>
      </c>
      <c r="E15" t="s">
        <v>894</v>
      </c>
      <c r="H15" t="s">
        <v>504</v>
      </c>
      <c r="I15" s="45">
        <v>1</v>
      </c>
      <c r="K15" t="s">
        <v>585</v>
      </c>
      <c r="L15" t="s">
        <v>912</v>
      </c>
      <c r="M15" s="45">
        <v>1</v>
      </c>
    </row>
    <row r="16" spans="1:13" x14ac:dyDescent="0.2">
      <c r="A16">
        <v>15</v>
      </c>
      <c r="B16" t="s">
        <v>912</v>
      </c>
      <c r="C16" t="s">
        <v>585</v>
      </c>
      <c r="D16" s="2" t="s">
        <v>913</v>
      </c>
      <c r="E16" t="s">
        <v>894</v>
      </c>
      <c r="H16" t="s">
        <v>664</v>
      </c>
      <c r="I16" s="45">
        <v>5</v>
      </c>
      <c r="K16" t="s">
        <v>585</v>
      </c>
      <c r="L16" t="s">
        <v>914</v>
      </c>
      <c r="M16" s="45">
        <v>1</v>
      </c>
    </row>
    <row r="17" spans="1:13" x14ac:dyDescent="0.2">
      <c r="A17">
        <v>16</v>
      </c>
      <c r="B17" t="s">
        <v>914</v>
      </c>
      <c r="C17" t="s">
        <v>585</v>
      </c>
      <c r="D17" s="2" t="s">
        <v>915</v>
      </c>
      <c r="E17" t="s">
        <v>894</v>
      </c>
      <c r="H17" t="s">
        <v>518</v>
      </c>
      <c r="I17" s="45">
        <v>1</v>
      </c>
      <c r="K17" t="s">
        <v>585</v>
      </c>
      <c r="L17" t="s">
        <v>939</v>
      </c>
      <c r="M17" s="45">
        <v>1</v>
      </c>
    </row>
    <row r="18" spans="1:13" x14ac:dyDescent="0.2">
      <c r="A18">
        <v>17</v>
      </c>
      <c r="B18" t="s">
        <v>916</v>
      </c>
      <c r="C18" t="s">
        <v>338</v>
      </c>
      <c r="D18" s="2" t="s">
        <v>916</v>
      </c>
      <c r="E18" t="s">
        <v>894</v>
      </c>
      <c r="H18" t="s">
        <v>325</v>
      </c>
      <c r="I18" s="45">
        <v>1</v>
      </c>
      <c r="K18" t="s">
        <v>585</v>
      </c>
      <c r="L18" t="s">
        <v>941</v>
      </c>
      <c r="M18" s="45">
        <v>1</v>
      </c>
    </row>
    <row r="19" spans="1:13" x14ac:dyDescent="0.2">
      <c r="A19">
        <v>18</v>
      </c>
      <c r="B19" t="s">
        <v>1340</v>
      </c>
      <c r="C19" t="s">
        <v>267</v>
      </c>
      <c r="D19" s="2" t="s">
        <v>1342</v>
      </c>
      <c r="H19" t="s">
        <v>338</v>
      </c>
      <c r="I19" s="45">
        <v>6</v>
      </c>
      <c r="K19" t="s">
        <v>585</v>
      </c>
      <c r="L19" t="s">
        <v>946</v>
      </c>
      <c r="M19" s="45">
        <v>1</v>
      </c>
    </row>
    <row r="20" spans="1:13" ht="25.5" x14ac:dyDescent="0.2">
      <c r="A20">
        <v>19</v>
      </c>
      <c r="B20" t="s">
        <v>917</v>
      </c>
      <c r="D20" s="2" t="s">
        <v>918</v>
      </c>
      <c r="E20" t="s">
        <v>894</v>
      </c>
      <c r="H20" t="s">
        <v>703</v>
      </c>
      <c r="I20" s="45">
        <v>3</v>
      </c>
      <c r="K20" t="s">
        <v>585</v>
      </c>
      <c r="L20" t="s">
        <v>948</v>
      </c>
      <c r="M20" s="45">
        <v>1</v>
      </c>
    </row>
    <row r="21" spans="1:13" x14ac:dyDescent="0.2">
      <c r="A21">
        <v>20</v>
      </c>
      <c r="B21" t="s">
        <v>919</v>
      </c>
      <c r="D21" s="2" t="s">
        <v>920</v>
      </c>
      <c r="E21" t="s">
        <v>894</v>
      </c>
      <c r="H21" t="s">
        <v>1440</v>
      </c>
      <c r="I21" s="45">
        <v>1</v>
      </c>
      <c r="K21" t="s">
        <v>585</v>
      </c>
      <c r="L21" t="s">
        <v>950</v>
      </c>
      <c r="M21" s="45">
        <v>1</v>
      </c>
    </row>
    <row r="22" spans="1:13" x14ac:dyDescent="0.2">
      <c r="A22">
        <v>21</v>
      </c>
      <c r="B22" t="s">
        <v>921</v>
      </c>
      <c r="D22" s="2" t="s">
        <v>922</v>
      </c>
      <c r="E22" t="s">
        <v>894</v>
      </c>
      <c r="H22" t="s">
        <v>18</v>
      </c>
      <c r="I22" s="45">
        <v>3</v>
      </c>
      <c r="K22" t="s">
        <v>585</v>
      </c>
      <c r="L22" t="s">
        <v>952</v>
      </c>
      <c r="M22" s="45">
        <v>1</v>
      </c>
    </row>
    <row r="23" spans="1:13" x14ac:dyDescent="0.2">
      <c r="A23">
        <v>22</v>
      </c>
      <c r="B23" t="s">
        <v>923</v>
      </c>
      <c r="D23" s="2" t="s">
        <v>924</v>
      </c>
      <c r="E23" t="s">
        <v>894</v>
      </c>
      <c r="H23" t="s">
        <v>373</v>
      </c>
      <c r="I23" s="45">
        <v>1</v>
      </c>
      <c r="K23" t="s">
        <v>585</v>
      </c>
      <c r="L23" t="s">
        <v>957</v>
      </c>
      <c r="M23" s="45">
        <v>1</v>
      </c>
    </row>
    <row r="24" spans="1:13" x14ac:dyDescent="0.2">
      <c r="A24">
        <v>23</v>
      </c>
      <c r="B24" t="s">
        <v>925</v>
      </c>
      <c r="D24" s="2" t="s">
        <v>926</v>
      </c>
      <c r="E24" t="s">
        <v>894</v>
      </c>
      <c r="H24" t="s">
        <v>632</v>
      </c>
      <c r="I24" s="45">
        <v>1</v>
      </c>
      <c r="K24" t="s">
        <v>585</v>
      </c>
      <c r="L24" t="s">
        <v>961</v>
      </c>
      <c r="M24" s="45">
        <v>1</v>
      </c>
    </row>
    <row r="25" spans="1:13" x14ac:dyDescent="0.2">
      <c r="A25">
        <v>24</v>
      </c>
      <c r="B25" t="s">
        <v>927</v>
      </c>
      <c r="D25" s="2" t="s">
        <v>928</v>
      </c>
      <c r="E25" t="s">
        <v>894</v>
      </c>
      <c r="H25" t="s">
        <v>393</v>
      </c>
      <c r="I25" s="45">
        <v>1</v>
      </c>
      <c r="K25" t="s">
        <v>585</v>
      </c>
      <c r="L25" t="s">
        <v>963</v>
      </c>
      <c r="M25" s="45">
        <v>1</v>
      </c>
    </row>
    <row r="26" spans="1:13" x14ac:dyDescent="0.2">
      <c r="A26">
        <v>25</v>
      </c>
      <c r="B26" t="s">
        <v>929</v>
      </c>
      <c r="D26" s="2" t="s">
        <v>930</v>
      </c>
      <c r="E26" t="s">
        <v>894</v>
      </c>
      <c r="H26" t="s">
        <v>418</v>
      </c>
      <c r="I26" s="45">
        <v>1</v>
      </c>
      <c r="K26" t="s">
        <v>585</v>
      </c>
      <c r="L26" t="s">
        <v>965</v>
      </c>
      <c r="M26" s="45">
        <v>1</v>
      </c>
    </row>
    <row r="27" spans="1:13" x14ac:dyDescent="0.2">
      <c r="A27">
        <v>26</v>
      </c>
      <c r="B27" t="s">
        <v>931</v>
      </c>
      <c r="D27" s="2" t="s">
        <v>932</v>
      </c>
      <c r="E27" t="s">
        <v>894</v>
      </c>
      <c r="H27" t="s">
        <v>1394</v>
      </c>
      <c r="I27" s="45"/>
      <c r="K27" t="s">
        <v>585</v>
      </c>
      <c r="L27" t="s">
        <v>967</v>
      </c>
      <c r="M27" s="45">
        <v>1</v>
      </c>
    </row>
    <row r="28" spans="1:13" x14ac:dyDescent="0.2">
      <c r="A28">
        <v>27</v>
      </c>
      <c r="B28" t="s">
        <v>933</v>
      </c>
      <c r="D28" s="2" t="s">
        <v>934</v>
      </c>
      <c r="E28" t="s">
        <v>894</v>
      </c>
      <c r="K28" t="s">
        <v>585</v>
      </c>
      <c r="L28" t="s">
        <v>969</v>
      </c>
      <c r="M28" s="45">
        <v>1</v>
      </c>
    </row>
    <row r="29" spans="1:13" x14ac:dyDescent="0.2">
      <c r="A29">
        <v>28</v>
      </c>
      <c r="B29" t="s">
        <v>935</v>
      </c>
      <c r="D29" s="2" t="s">
        <v>936</v>
      </c>
      <c r="E29" t="s">
        <v>894</v>
      </c>
      <c r="K29" t="s">
        <v>585</v>
      </c>
      <c r="L29" t="s">
        <v>971</v>
      </c>
      <c r="M29" s="45">
        <v>1</v>
      </c>
    </row>
    <row r="30" spans="1:13" ht="25.5" x14ac:dyDescent="0.2">
      <c r="A30">
        <v>29</v>
      </c>
      <c r="B30" t="s">
        <v>937</v>
      </c>
      <c r="D30" s="2" t="s">
        <v>938</v>
      </c>
      <c r="E30" t="s">
        <v>894</v>
      </c>
      <c r="K30" t="s">
        <v>585</v>
      </c>
      <c r="L30" t="s">
        <v>973</v>
      </c>
      <c r="M30" s="45">
        <v>1</v>
      </c>
    </row>
    <row r="31" spans="1:13" x14ac:dyDescent="0.2">
      <c r="A31">
        <v>30</v>
      </c>
      <c r="B31" t="s">
        <v>939</v>
      </c>
      <c r="C31" t="s">
        <v>585</v>
      </c>
      <c r="D31" s="2" t="s">
        <v>940</v>
      </c>
      <c r="E31" t="s">
        <v>894</v>
      </c>
      <c r="K31" t="s">
        <v>585</v>
      </c>
      <c r="L31" t="s">
        <v>975</v>
      </c>
      <c r="M31" s="45">
        <v>1</v>
      </c>
    </row>
    <row r="32" spans="1:13" x14ac:dyDescent="0.2">
      <c r="A32">
        <v>31</v>
      </c>
      <c r="B32" t="s">
        <v>941</v>
      </c>
      <c r="C32" t="s">
        <v>585</v>
      </c>
      <c r="D32" s="2" t="s">
        <v>941</v>
      </c>
      <c r="E32" t="s">
        <v>894</v>
      </c>
      <c r="K32" t="s">
        <v>585</v>
      </c>
      <c r="L32" t="s">
        <v>977</v>
      </c>
      <c r="M32" s="45">
        <v>1</v>
      </c>
    </row>
    <row r="33" spans="1:13" ht="25.5" x14ac:dyDescent="0.2">
      <c r="A33">
        <v>32</v>
      </c>
      <c r="B33" t="s">
        <v>942</v>
      </c>
      <c r="D33" s="2" t="s">
        <v>943</v>
      </c>
      <c r="E33" t="s">
        <v>894</v>
      </c>
      <c r="K33" t="s">
        <v>585</v>
      </c>
      <c r="L33" t="s">
        <v>979</v>
      </c>
      <c r="M33" s="45">
        <v>1</v>
      </c>
    </row>
    <row r="34" spans="1:13" ht="38.25" x14ac:dyDescent="0.2">
      <c r="A34">
        <v>33</v>
      </c>
      <c r="B34" t="s">
        <v>944</v>
      </c>
      <c r="D34" s="2" t="s">
        <v>945</v>
      </c>
      <c r="E34" t="s">
        <v>894</v>
      </c>
      <c r="K34" t="s">
        <v>585</v>
      </c>
      <c r="L34" t="s">
        <v>981</v>
      </c>
      <c r="M34" s="45">
        <v>1</v>
      </c>
    </row>
    <row r="35" spans="1:13" x14ac:dyDescent="0.2">
      <c r="A35">
        <v>34</v>
      </c>
      <c r="B35" t="s">
        <v>946</v>
      </c>
      <c r="C35" t="s">
        <v>585</v>
      </c>
      <c r="D35" s="2" t="s">
        <v>947</v>
      </c>
      <c r="E35" t="s">
        <v>894</v>
      </c>
      <c r="K35" t="s">
        <v>585</v>
      </c>
      <c r="L35" t="s">
        <v>983</v>
      </c>
      <c r="M35" s="45">
        <v>1</v>
      </c>
    </row>
    <row r="36" spans="1:13" x14ac:dyDescent="0.2">
      <c r="A36">
        <v>35</v>
      </c>
      <c r="B36" t="s">
        <v>948</v>
      </c>
      <c r="C36" t="s">
        <v>585</v>
      </c>
      <c r="D36" s="2" t="s">
        <v>949</v>
      </c>
      <c r="E36" t="s">
        <v>894</v>
      </c>
      <c r="K36" t="s">
        <v>585</v>
      </c>
      <c r="L36" t="s">
        <v>985</v>
      </c>
      <c r="M36" s="45">
        <v>1</v>
      </c>
    </row>
    <row r="37" spans="1:13" x14ac:dyDescent="0.2">
      <c r="A37">
        <v>36</v>
      </c>
      <c r="B37" t="s">
        <v>950</v>
      </c>
      <c r="C37" t="s">
        <v>585</v>
      </c>
      <c r="D37" s="2" t="s">
        <v>951</v>
      </c>
      <c r="E37" t="s">
        <v>894</v>
      </c>
      <c r="K37" t="s">
        <v>585</v>
      </c>
      <c r="L37" t="s">
        <v>986</v>
      </c>
      <c r="M37" s="45">
        <v>1</v>
      </c>
    </row>
    <row r="38" spans="1:13" x14ac:dyDescent="0.2">
      <c r="A38">
        <v>37</v>
      </c>
      <c r="B38" t="s">
        <v>952</v>
      </c>
      <c r="C38" t="s">
        <v>585</v>
      </c>
      <c r="D38" s="2" t="s">
        <v>952</v>
      </c>
      <c r="E38" t="s">
        <v>894</v>
      </c>
      <c r="K38" t="s">
        <v>585</v>
      </c>
      <c r="L38" t="s">
        <v>987</v>
      </c>
      <c r="M38" s="45">
        <v>1</v>
      </c>
    </row>
    <row r="39" spans="1:13" x14ac:dyDescent="0.2">
      <c r="A39">
        <v>38</v>
      </c>
      <c r="B39" t="s">
        <v>953</v>
      </c>
      <c r="D39" s="2" t="s">
        <v>954</v>
      </c>
      <c r="E39" t="s">
        <v>894</v>
      </c>
      <c r="K39" t="s">
        <v>585</v>
      </c>
      <c r="L39" t="s">
        <v>989</v>
      </c>
      <c r="M39" s="45">
        <v>1</v>
      </c>
    </row>
    <row r="40" spans="1:13" x14ac:dyDescent="0.2">
      <c r="A40">
        <v>39</v>
      </c>
      <c r="B40" t="s">
        <v>955</v>
      </c>
      <c r="D40" s="2" t="s">
        <v>956</v>
      </c>
      <c r="E40" t="s">
        <v>894</v>
      </c>
      <c r="K40" t="s">
        <v>585</v>
      </c>
      <c r="L40" t="s">
        <v>991</v>
      </c>
      <c r="M40" s="45">
        <v>1</v>
      </c>
    </row>
    <row r="41" spans="1:13" x14ac:dyDescent="0.2">
      <c r="A41">
        <v>40</v>
      </c>
      <c r="B41" t="s">
        <v>957</v>
      </c>
      <c r="C41" t="s">
        <v>585</v>
      </c>
      <c r="D41" s="2" t="s">
        <v>958</v>
      </c>
      <c r="E41" t="s">
        <v>894</v>
      </c>
      <c r="K41" t="s">
        <v>585</v>
      </c>
      <c r="L41" t="s">
        <v>993</v>
      </c>
      <c r="M41" s="45">
        <v>1</v>
      </c>
    </row>
    <row r="42" spans="1:13" x14ac:dyDescent="0.2">
      <c r="A42">
        <v>41</v>
      </c>
      <c r="B42" t="s">
        <v>959</v>
      </c>
      <c r="D42" s="2" t="s">
        <v>960</v>
      </c>
      <c r="E42" t="s">
        <v>894</v>
      </c>
      <c r="K42" t="s">
        <v>585</v>
      </c>
      <c r="L42" t="s">
        <v>994</v>
      </c>
      <c r="M42" s="45">
        <v>1</v>
      </c>
    </row>
    <row r="43" spans="1:13" x14ac:dyDescent="0.2">
      <c r="A43">
        <v>42</v>
      </c>
      <c r="B43" t="s">
        <v>961</v>
      </c>
      <c r="C43" t="s">
        <v>585</v>
      </c>
      <c r="D43" s="2" t="s">
        <v>962</v>
      </c>
      <c r="E43" t="s">
        <v>894</v>
      </c>
      <c r="K43" t="s">
        <v>585</v>
      </c>
      <c r="L43" t="s">
        <v>995</v>
      </c>
      <c r="M43" s="45">
        <v>1</v>
      </c>
    </row>
    <row r="44" spans="1:13" x14ac:dyDescent="0.2">
      <c r="A44">
        <v>43</v>
      </c>
      <c r="B44" t="s">
        <v>963</v>
      </c>
      <c r="C44" t="s">
        <v>585</v>
      </c>
      <c r="D44" s="2" t="s">
        <v>964</v>
      </c>
      <c r="E44" t="s">
        <v>894</v>
      </c>
      <c r="K44" t="s">
        <v>585</v>
      </c>
      <c r="L44" t="s">
        <v>998</v>
      </c>
      <c r="M44" s="45">
        <v>1</v>
      </c>
    </row>
    <row r="45" spans="1:13" x14ac:dyDescent="0.2">
      <c r="A45">
        <v>44</v>
      </c>
      <c r="B45" t="s">
        <v>965</v>
      </c>
      <c r="C45" t="s">
        <v>585</v>
      </c>
      <c r="D45" s="2" t="s">
        <v>966</v>
      </c>
      <c r="E45" t="s">
        <v>894</v>
      </c>
      <c r="K45" t="s">
        <v>585</v>
      </c>
      <c r="L45" t="s">
        <v>1000</v>
      </c>
      <c r="M45" s="45">
        <v>1</v>
      </c>
    </row>
    <row r="46" spans="1:13" x14ac:dyDescent="0.2">
      <c r="A46">
        <v>45</v>
      </c>
      <c r="B46" t="s">
        <v>967</v>
      </c>
      <c r="C46" t="s">
        <v>585</v>
      </c>
      <c r="D46" s="2" t="s">
        <v>968</v>
      </c>
      <c r="E46" t="s">
        <v>894</v>
      </c>
      <c r="K46" t="s">
        <v>585</v>
      </c>
      <c r="L46" t="s">
        <v>1002</v>
      </c>
      <c r="M46" s="45">
        <v>1</v>
      </c>
    </row>
    <row r="47" spans="1:13" x14ac:dyDescent="0.2">
      <c r="A47">
        <v>46</v>
      </c>
      <c r="B47" t="s">
        <v>969</v>
      </c>
      <c r="C47" t="s">
        <v>585</v>
      </c>
      <c r="D47" s="2" t="s">
        <v>970</v>
      </c>
      <c r="E47" t="s">
        <v>894</v>
      </c>
      <c r="K47" t="s">
        <v>585</v>
      </c>
      <c r="L47" t="s">
        <v>1011</v>
      </c>
      <c r="M47" s="45">
        <v>1</v>
      </c>
    </row>
    <row r="48" spans="1:13" x14ac:dyDescent="0.2">
      <c r="A48">
        <v>47</v>
      </c>
      <c r="B48" t="s">
        <v>971</v>
      </c>
      <c r="C48" t="s">
        <v>585</v>
      </c>
      <c r="D48" s="2" t="s">
        <v>972</v>
      </c>
      <c r="E48" t="s">
        <v>894</v>
      </c>
      <c r="K48" t="s">
        <v>585</v>
      </c>
      <c r="L48" t="s">
        <v>1015</v>
      </c>
      <c r="M48" s="45">
        <v>1</v>
      </c>
    </row>
    <row r="49" spans="1:13" x14ac:dyDescent="0.2">
      <c r="A49">
        <v>48</v>
      </c>
      <c r="B49" t="s">
        <v>973</v>
      </c>
      <c r="C49" t="s">
        <v>585</v>
      </c>
      <c r="D49" s="2" t="s">
        <v>974</v>
      </c>
      <c r="E49" t="s">
        <v>894</v>
      </c>
      <c r="K49" t="s">
        <v>585</v>
      </c>
      <c r="L49" t="s">
        <v>1017</v>
      </c>
      <c r="M49" s="45">
        <v>1</v>
      </c>
    </row>
    <row r="50" spans="1:13" x14ac:dyDescent="0.2">
      <c r="A50">
        <v>49</v>
      </c>
      <c r="B50" t="s">
        <v>975</v>
      </c>
      <c r="C50" t="s">
        <v>585</v>
      </c>
      <c r="D50" s="2" t="s">
        <v>976</v>
      </c>
      <c r="E50" t="s">
        <v>894</v>
      </c>
      <c r="K50" t="s">
        <v>585</v>
      </c>
      <c r="L50" t="s">
        <v>1020</v>
      </c>
      <c r="M50" s="45">
        <v>1</v>
      </c>
    </row>
    <row r="51" spans="1:13" x14ac:dyDescent="0.2">
      <c r="A51">
        <v>50</v>
      </c>
      <c r="B51" t="s">
        <v>977</v>
      </c>
      <c r="C51" t="s">
        <v>585</v>
      </c>
      <c r="D51" s="2" t="s">
        <v>978</v>
      </c>
      <c r="E51" t="s">
        <v>894</v>
      </c>
      <c r="K51" t="s">
        <v>585</v>
      </c>
      <c r="L51" t="s">
        <v>1022</v>
      </c>
      <c r="M51" s="45">
        <v>1</v>
      </c>
    </row>
    <row r="52" spans="1:13" x14ac:dyDescent="0.2">
      <c r="A52">
        <v>51</v>
      </c>
      <c r="B52" t="s">
        <v>979</v>
      </c>
      <c r="C52" t="s">
        <v>585</v>
      </c>
      <c r="D52" s="2" t="s">
        <v>980</v>
      </c>
      <c r="E52" t="s">
        <v>894</v>
      </c>
      <c r="K52" t="s">
        <v>585</v>
      </c>
      <c r="L52" t="s">
        <v>1024</v>
      </c>
      <c r="M52" s="45">
        <v>1</v>
      </c>
    </row>
    <row r="53" spans="1:13" x14ac:dyDescent="0.2">
      <c r="A53">
        <v>52</v>
      </c>
      <c r="B53" t="s">
        <v>981</v>
      </c>
      <c r="C53" t="s">
        <v>585</v>
      </c>
      <c r="D53" s="2" t="s">
        <v>982</v>
      </c>
      <c r="E53" t="s">
        <v>894</v>
      </c>
      <c r="K53" t="s">
        <v>585</v>
      </c>
      <c r="L53" t="s">
        <v>1026</v>
      </c>
      <c r="M53" s="45">
        <v>1</v>
      </c>
    </row>
    <row r="54" spans="1:13" x14ac:dyDescent="0.2">
      <c r="A54">
        <v>53</v>
      </c>
      <c r="B54" t="s">
        <v>983</v>
      </c>
      <c r="C54" t="s">
        <v>585</v>
      </c>
      <c r="D54" s="2" t="s">
        <v>984</v>
      </c>
      <c r="E54" t="s">
        <v>894</v>
      </c>
      <c r="K54" t="s">
        <v>585</v>
      </c>
      <c r="L54" t="s">
        <v>1046</v>
      </c>
      <c r="M54" s="45">
        <v>1</v>
      </c>
    </row>
    <row r="55" spans="1:13" x14ac:dyDescent="0.2">
      <c r="A55">
        <v>54</v>
      </c>
      <c r="B55" t="s">
        <v>985</v>
      </c>
      <c r="C55" t="s">
        <v>585</v>
      </c>
      <c r="D55" s="2" t="s">
        <v>985</v>
      </c>
      <c r="E55" t="s">
        <v>894</v>
      </c>
      <c r="K55" t="s">
        <v>585</v>
      </c>
      <c r="L55" t="s">
        <v>1055</v>
      </c>
      <c r="M55" s="45">
        <v>1</v>
      </c>
    </row>
    <row r="56" spans="1:13" x14ac:dyDescent="0.2">
      <c r="A56">
        <v>55</v>
      </c>
      <c r="B56" t="s">
        <v>986</v>
      </c>
      <c r="C56" t="s">
        <v>585</v>
      </c>
      <c r="D56" s="2" t="s">
        <v>986</v>
      </c>
      <c r="E56" t="s">
        <v>894</v>
      </c>
      <c r="K56" t="s">
        <v>585</v>
      </c>
      <c r="L56" t="s">
        <v>1057</v>
      </c>
      <c r="M56" s="45">
        <v>1</v>
      </c>
    </row>
    <row r="57" spans="1:13" x14ac:dyDescent="0.2">
      <c r="A57">
        <v>56</v>
      </c>
      <c r="B57" t="s">
        <v>987</v>
      </c>
      <c r="C57" t="s">
        <v>585</v>
      </c>
      <c r="D57" s="2" t="s">
        <v>988</v>
      </c>
      <c r="E57" t="s">
        <v>894</v>
      </c>
      <c r="K57" t="s">
        <v>585</v>
      </c>
      <c r="L57" t="s">
        <v>1059</v>
      </c>
      <c r="M57" s="45">
        <v>1</v>
      </c>
    </row>
    <row r="58" spans="1:13" x14ac:dyDescent="0.2">
      <c r="A58">
        <v>57</v>
      </c>
      <c r="B58" t="s">
        <v>989</v>
      </c>
      <c r="C58" t="s">
        <v>585</v>
      </c>
      <c r="D58" s="2" t="s">
        <v>990</v>
      </c>
      <c r="E58" t="s">
        <v>894</v>
      </c>
      <c r="K58" t="s">
        <v>585</v>
      </c>
      <c r="L58" t="s">
        <v>1067</v>
      </c>
      <c r="M58" s="45">
        <v>1</v>
      </c>
    </row>
    <row r="59" spans="1:13" x14ac:dyDescent="0.2">
      <c r="A59">
        <v>58</v>
      </c>
      <c r="B59" t="s">
        <v>991</v>
      </c>
      <c r="C59" t="s">
        <v>585</v>
      </c>
      <c r="D59" s="2" t="s">
        <v>992</v>
      </c>
      <c r="E59" t="s">
        <v>894</v>
      </c>
      <c r="K59" t="s">
        <v>585</v>
      </c>
      <c r="L59" t="s">
        <v>1069</v>
      </c>
      <c r="M59" s="45">
        <v>1</v>
      </c>
    </row>
    <row r="60" spans="1:13" x14ac:dyDescent="0.2">
      <c r="A60">
        <v>59</v>
      </c>
      <c r="B60" t="s">
        <v>993</v>
      </c>
      <c r="C60" t="s">
        <v>585</v>
      </c>
      <c r="D60" s="2" t="s">
        <v>993</v>
      </c>
      <c r="E60" t="s">
        <v>894</v>
      </c>
      <c r="K60" t="s">
        <v>585</v>
      </c>
      <c r="L60" t="s">
        <v>1071</v>
      </c>
      <c r="M60" s="45">
        <v>1</v>
      </c>
    </row>
    <row r="61" spans="1:13" x14ac:dyDescent="0.2">
      <c r="A61">
        <v>60</v>
      </c>
      <c r="B61" t="s">
        <v>994</v>
      </c>
      <c r="C61" t="s">
        <v>585</v>
      </c>
      <c r="D61" s="2" t="s">
        <v>994</v>
      </c>
      <c r="E61" t="s">
        <v>894</v>
      </c>
      <c r="K61" t="s">
        <v>585</v>
      </c>
      <c r="L61" t="s">
        <v>1077</v>
      </c>
      <c r="M61" s="45">
        <v>1</v>
      </c>
    </row>
    <row r="62" spans="1:13" x14ac:dyDescent="0.2">
      <c r="A62">
        <v>61</v>
      </c>
      <c r="B62" t="s">
        <v>995</v>
      </c>
      <c r="C62" t="s">
        <v>585</v>
      </c>
      <c r="D62" s="2" t="s">
        <v>995</v>
      </c>
      <c r="E62" t="s">
        <v>894</v>
      </c>
      <c r="K62" t="s">
        <v>585</v>
      </c>
      <c r="L62" t="s">
        <v>1082</v>
      </c>
      <c r="M62" s="45">
        <v>1</v>
      </c>
    </row>
    <row r="63" spans="1:13" x14ac:dyDescent="0.2">
      <c r="A63">
        <v>62</v>
      </c>
      <c r="B63" t="s">
        <v>996</v>
      </c>
      <c r="D63" s="2" t="s">
        <v>997</v>
      </c>
      <c r="E63" t="s">
        <v>894</v>
      </c>
      <c r="K63" t="s">
        <v>585</v>
      </c>
      <c r="L63" t="s">
        <v>1090</v>
      </c>
      <c r="M63" s="45">
        <v>1</v>
      </c>
    </row>
    <row r="64" spans="1:13" x14ac:dyDescent="0.2">
      <c r="A64">
        <v>63</v>
      </c>
      <c r="B64" t="s">
        <v>998</v>
      </c>
      <c r="C64" t="s">
        <v>585</v>
      </c>
      <c r="D64" s="2" t="s">
        <v>999</v>
      </c>
      <c r="E64" t="s">
        <v>894</v>
      </c>
      <c r="K64" t="s">
        <v>585</v>
      </c>
      <c r="L64" t="s">
        <v>1092</v>
      </c>
      <c r="M64" s="45">
        <v>1</v>
      </c>
    </row>
    <row r="65" spans="1:13" x14ac:dyDescent="0.2">
      <c r="A65">
        <v>64</v>
      </c>
      <c r="B65" t="s">
        <v>1000</v>
      </c>
      <c r="C65" t="s">
        <v>585</v>
      </c>
      <c r="D65" s="2" t="s">
        <v>1001</v>
      </c>
      <c r="E65" t="s">
        <v>894</v>
      </c>
      <c r="K65" t="s">
        <v>585</v>
      </c>
      <c r="L65" t="s">
        <v>1094</v>
      </c>
      <c r="M65" s="45">
        <v>1</v>
      </c>
    </row>
    <row r="66" spans="1:13" x14ac:dyDescent="0.2">
      <c r="A66">
        <v>65</v>
      </c>
      <c r="B66" t="s">
        <v>1002</v>
      </c>
      <c r="C66" t="s">
        <v>585</v>
      </c>
      <c r="D66" s="2" t="s">
        <v>1003</v>
      </c>
      <c r="E66" t="s">
        <v>894</v>
      </c>
      <c r="K66" t="s">
        <v>585</v>
      </c>
      <c r="L66" t="s">
        <v>1096</v>
      </c>
      <c r="M66" s="45">
        <v>1</v>
      </c>
    </row>
    <row r="67" spans="1:13" x14ac:dyDescent="0.2">
      <c r="A67">
        <v>66</v>
      </c>
      <c r="B67" t="s">
        <v>1004</v>
      </c>
      <c r="D67" s="2" t="s">
        <v>1005</v>
      </c>
      <c r="E67" t="s">
        <v>894</v>
      </c>
      <c r="K67" t="s">
        <v>585</v>
      </c>
      <c r="L67" t="s">
        <v>1098</v>
      </c>
      <c r="M67" s="45">
        <v>1</v>
      </c>
    </row>
    <row r="68" spans="1:13" x14ac:dyDescent="0.2">
      <c r="A68">
        <v>67</v>
      </c>
      <c r="B68" t="s">
        <v>1006</v>
      </c>
      <c r="C68" t="s">
        <v>664</v>
      </c>
      <c r="D68" s="2" t="s">
        <v>1007</v>
      </c>
      <c r="E68" t="s">
        <v>894</v>
      </c>
      <c r="K68" t="s">
        <v>585</v>
      </c>
      <c r="L68" t="s">
        <v>1101</v>
      </c>
      <c r="M68" s="45">
        <v>1</v>
      </c>
    </row>
    <row r="69" spans="1:13" x14ac:dyDescent="0.2">
      <c r="A69">
        <v>68</v>
      </c>
      <c r="B69" t="s">
        <v>1008</v>
      </c>
      <c r="C69" t="s">
        <v>664</v>
      </c>
      <c r="D69" s="2" t="s">
        <v>1009</v>
      </c>
      <c r="E69" t="s">
        <v>894</v>
      </c>
      <c r="K69" t="s">
        <v>585</v>
      </c>
      <c r="L69" t="s">
        <v>1103</v>
      </c>
      <c r="M69" s="45">
        <v>1</v>
      </c>
    </row>
    <row r="70" spans="1:13" x14ac:dyDescent="0.2">
      <c r="A70">
        <v>69</v>
      </c>
      <c r="B70" t="s">
        <v>655</v>
      </c>
      <c r="C70" s="60" t="s">
        <v>655</v>
      </c>
      <c r="D70" s="2" t="s">
        <v>1010</v>
      </c>
      <c r="E70" t="s">
        <v>894</v>
      </c>
      <c r="K70" t="s">
        <v>585</v>
      </c>
      <c r="L70" t="s">
        <v>1105</v>
      </c>
      <c r="M70" s="45">
        <v>1</v>
      </c>
    </row>
    <row r="71" spans="1:13" x14ac:dyDescent="0.2">
      <c r="A71">
        <v>70</v>
      </c>
      <c r="B71" t="s">
        <v>1011</v>
      </c>
      <c r="C71" t="s">
        <v>585</v>
      </c>
      <c r="D71" s="2" t="s">
        <v>1012</v>
      </c>
      <c r="E71" t="s">
        <v>894</v>
      </c>
      <c r="K71" t="s">
        <v>585</v>
      </c>
      <c r="L71" t="s">
        <v>1107</v>
      </c>
      <c r="M71" s="45">
        <v>1</v>
      </c>
    </row>
    <row r="72" spans="1:13" x14ac:dyDescent="0.2">
      <c r="A72">
        <v>71</v>
      </c>
      <c r="B72" t="s">
        <v>1013</v>
      </c>
      <c r="C72" s="60" t="s">
        <v>168</v>
      </c>
      <c r="D72" s="2" t="s">
        <v>1014</v>
      </c>
      <c r="E72" t="s">
        <v>894</v>
      </c>
      <c r="K72" t="s">
        <v>585</v>
      </c>
      <c r="L72" t="s">
        <v>1109</v>
      </c>
      <c r="M72" s="45">
        <v>1</v>
      </c>
    </row>
    <row r="73" spans="1:13" x14ac:dyDescent="0.2">
      <c r="A73">
        <v>72</v>
      </c>
      <c r="B73" t="s">
        <v>1015</v>
      </c>
      <c r="C73" t="s">
        <v>585</v>
      </c>
      <c r="D73" s="2" t="s">
        <v>1016</v>
      </c>
      <c r="E73" t="s">
        <v>894</v>
      </c>
      <c r="K73" t="s">
        <v>585</v>
      </c>
      <c r="L73" t="s">
        <v>1111</v>
      </c>
      <c r="M73" s="45">
        <v>1</v>
      </c>
    </row>
    <row r="74" spans="1:13" x14ac:dyDescent="0.2">
      <c r="A74">
        <v>73</v>
      </c>
      <c r="B74" t="s">
        <v>1017</v>
      </c>
      <c r="C74" t="s">
        <v>585</v>
      </c>
      <c r="D74" s="2" t="s">
        <v>1018</v>
      </c>
      <c r="E74" t="s">
        <v>894</v>
      </c>
      <c r="K74" t="s">
        <v>585</v>
      </c>
      <c r="L74" t="s">
        <v>1113</v>
      </c>
      <c r="M74" s="45">
        <v>1</v>
      </c>
    </row>
    <row r="75" spans="1:13" ht="25.5" x14ac:dyDescent="0.2">
      <c r="A75">
        <v>74</v>
      </c>
      <c r="B75" t="s">
        <v>1350</v>
      </c>
      <c r="C75" s="60" t="s">
        <v>168</v>
      </c>
      <c r="D75" s="2" t="s">
        <v>1349</v>
      </c>
      <c r="K75" t="s">
        <v>585</v>
      </c>
      <c r="L75" t="s">
        <v>1115</v>
      </c>
      <c r="M75" s="45">
        <v>1</v>
      </c>
    </row>
    <row r="76" spans="1:13" ht="25.5" x14ac:dyDescent="0.2">
      <c r="A76">
        <v>75</v>
      </c>
      <c r="B76" t="s">
        <v>1351</v>
      </c>
      <c r="C76" s="60" t="s">
        <v>168</v>
      </c>
      <c r="D76" s="2" t="s">
        <v>1352</v>
      </c>
      <c r="K76" t="s">
        <v>585</v>
      </c>
      <c r="L76" t="s">
        <v>1117</v>
      </c>
      <c r="M76" s="45">
        <v>1</v>
      </c>
    </row>
    <row r="77" spans="1:13" x14ac:dyDescent="0.2">
      <c r="A77">
        <v>76</v>
      </c>
      <c r="B77" t="s">
        <v>1019</v>
      </c>
      <c r="C77" s="60" t="s">
        <v>1019</v>
      </c>
      <c r="D77" s="2" t="s">
        <v>1019</v>
      </c>
      <c r="E77" t="s">
        <v>894</v>
      </c>
      <c r="K77" t="s">
        <v>585</v>
      </c>
      <c r="L77" t="s">
        <v>1119</v>
      </c>
      <c r="M77" s="45">
        <v>1</v>
      </c>
    </row>
    <row r="78" spans="1:13" x14ac:dyDescent="0.2">
      <c r="A78">
        <v>77</v>
      </c>
      <c r="B78" t="s">
        <v>1020</v>
      </c>
      <c r="C78" s="60" t="s">
        <v>585</v>
      </c>
      <c r="D78" s="2" t="s">
        <v>1021</v>
      </c>
      <c r="E78" t="s">
        <v>894</v>
      </c>
      <c r="K78" t="s">
        <v>585</v>
      </c>
      <c r="L78" t="s">
        <v>1121</v>
      </c>
      <c r="M78" s="45">
        <v>1</v>
      </c>
    </row>
    <row r="79" spans="1:13" x14ac:dyDescent="0.2">
      <c r="A79">
        <v>78</v>
      </c>
      <c r="B79" t="s">
        <v>1022</v>
      </c>
      <c r="C79" t="s">
        <v>585</v>
      </c>
      <c r="D79" s="2" t="s">
        <v>1023</v>
      </c>
      <c r="E79" t="s">
        <v>894</v>
      </c>
      <c r="K79" t="s">
        <v>585</v>
      </c>
      <c r="L79" t="s">
        <v>1123</v>
      </c>
      <c r="M79" s="45">
        <v>1</v>
      </c>
    </row>
    <row r="80" spans="1:13" x14ac:dyDescent="0.2">
      <c r="A80">
        <v>79</v>
      </c>
      <c r="B80" t="s">
        <v>1024</v>
      </c>
      <c r="C80" t="s">
        <v>585</v>
      </c>
      <c r="D80" s="2" t="s">
        <v>1025</v>
      </c>
      <c r="E80" t="s">
        <v>894</v>
      </c>
      <c r="K80" t="s">
        <v>585</v>
      </c>
      <c r="L80" t="s">
        <v>1125</v>
      </c>
      <c r="M80" s="45">
        <v>1</v>
      </c>
    </row>
    <row r="81" spans="1:13" x14ac:dyDescent="0.2">
      <c r="A81">
        <v>80</v>
      </c>
      <c r="B81" t="s">
        <v>1026</v>
      </c>
      <c r="C81" t="s">
        <v>585</v>
      </c>
      <c r="D81" s="2" t="s">
        <v>1027</v>
      </c>
      <c r="E81" t="s">
        <v>894</v>
      </c>
      <c r="K81" t="s">
        <v>585</v>
      </c>
      <c r="L81" t="s">
        <v>1127</v>
      </c>
      <c r="M81" s="45">
        <v>1</v>
      </c>
    </row>
    <row r="82" spans="1:13" x14ac:dyDescent="0.2">
      <c r="A82">
        <v>81</v>
      </c>
      <c r="B82" t="s">
        <v>1028</v>
      </c>
      <c r="C82" s="60" t="s">
        <v>239</v>
      </c>
      <c r="D82" s="2" t="s">
        <v>1028</v>
      </c>
      <c r="E82" t="s">
        <v>894</v>
      </c>
      <c r="K82" t="s">
        <v>585</v>
      </c>
      <c r="L82" t="s">
        <v>1129</v>
      </c>
      <c r="M82" s="45">
        <v>1</v>
      </c>
    </row>
    <row r="83" spans="1:13" ht="25.5" x14ac:dyDescent="0.2">
      <c r="A83">
        <v>82</v>
      </c>
      <c r="B83" t="s">
        <v>1029</v>
      </c>
      <c r="C83" s="60" t="s">
        <v>267</v>
      </c>
      <c r="D83" s="2" t="s">
        <v>1030</v>
      </c>
      <c r="E83" t="s">
        <v>894</v>
      </c>
      <c r="K83" t="s">
        <v>585</v>
      </c>
      <c r="L83" t="s">
        <v>1131</v>
      </c>
      <c r="M83" s="45">
        <v>1</v>
      </c>
    </row>
    <row r="84" spans="1:13" x14ac:dyDescent="0.2">
      <c r="A84">
        <v>83</v>
      </c>
      <c r="B84" t="s">
        <v>1031</v>
      </c>
      <c r="C84" t="s">
        <v>664</v>
      </c>
      <c r="D84" s="2" t="s">
        <v>1032</v>
      </c>
      <c r="E84" t="s">
        <v>894</v>
      </c>
      <c r="K84" t="s">
        <v>585</v>
      </c>
      <c r="L84" t="s">
        <v>1135</v>
      </c>
      <c r="M84" s="45">
        <v>1</v>
      </c>
    </row>
    <row r="85" spans="1:13" x14ac:dyDescent="0.2">
      <c r="A85">
        <v>84</v>
      </c>
      <c r="B85" t="s">
        <v>1033</v>
      </c>
      <c r="C85" s="60" t="s">
        <v>212</v>
      </c>
      <c r="D85" s="2" t="s">
        <v>1033</v>
      </c>
      <c r="E85" t="s">
        <v>894</v>
      </c>
      <c r="K85" t="s">
        <v>585</v>
      </c>
      <c r="L85" t="s">
        <v>1137</v>
      </c>
      <c r="M85" s="45">
        <v>1</v>
      </c>
    </row>
    <row r="86" spans="1:13" x14ac:dyDescent="0.2">
      <c r="A86">
        <v>85</v>
      </c>
      <c r="B86" t="s">
        <v>1034</v>
      </c>
      <c r="C86" s="60" t="s">
        <v>325</v>
      </c>
      <c r="D86" s="2" t="s">
        <v>1034</v>
      </c>
      <c r="E86" t="s">
        <v>894</v>
      </c>
      <c r="K86" t="s">
        <v>585</v>
      </c>
      <c r="L86" t="s">
        <v>1139</v>
      </c>
      <c r="M86" s="45">
        <v>1</v>
      </c>
    </row>
    <row r="87" spans="1:13" x14ac:dyDescent="0.2">
      <c r="A87">
        <v>86</v>
      </c>
      <c r="B87" t="s">
        <v>1035</v>
      </c>
      <c r="C87" t="s">
        <v>570</v>
      </c>
      <c r="D87" s="2" t="s">
        <v>1035</v>
      </c>
      <c r="E87" t="s">
        <v>894</v>
      </c>
      <c r="K87" t="s">
        <v>585</v>
      </c>
      <c r="L87" t="s">
        <v>1141</v>
      </c>
      <c r="M87" s="45">
        <v>1</v>
      </c>
    </row>
    <row r="88" spans="1:13" x14ac:dyDescent="0.2">
      <c r="A88">
        <v>87</v>
      </c>
      <c r="B88" t="s">
        <v>109</v>
      </c>
      <c r="C88" s="60" t="s">
        <v>168</v>
      </c>
      <c r="D88" s="2" t="s">
        <v>1346</v>
      </c>
      <c r="K88" t="s">
        <v>585</v>
      </c>
      <c r="L88" t="s">
        <v>1143</v>
      </c>
      <c r="M88" s="45">
        <v>1</v>
      </c>
    </row>
    <row r="89" spans="1:13" x14ac:dyDescent="0.2">
      <c r="A89">
        <v>88</v>
      </c>
      <c r="B89" t="s">
        <v>1036</v>
      </c>
      <c r="C89" s="60" t="s">
        <v>703</v>
      </c>
      <c r="D89" s="2" t="s">
        <v>1036</v>
      </c>
      <c r="E89" t="s">
        <v>894</v>
      </c>
      <c r="K89" t="s">
        <v>585</v>
      </c>
      <c r="L89" t="s">
        <v>1147</v>
      </c>
      <c r="M89" s="45">
        <v>1</v>
      </c>
    </row>
    <row r="90" spans="1:13" x14ac:dyDescent="0.2">
      <c r="A90">
        <v>89</v>
      </c>
      <c r="B90" t="s">
        <v>1037</v>
      </c>
      <c r="C90" s="60" t="s">
        <v>703</v>
      </c>
      <c r="D90" s="2" t="s">
        <v>1037</v>
      </c>
      <c r="E90" t="s">
        <v>894</v>
      </c>
      <c r="K90" t="s">
        <v>585</v>
      </c>
      <c r="L90" t="s">
        <v>1156</v>
      </c>
      <c r="M90" s="45">
        <v>1</v>
      </c>
    </row>
    <row r="91" spans="1:13" ht="25.5" x14ac:dyDescent="0.2">
      <c r="A91">
        <v>90</v>
      </c>
      <c r="B91" t="s">
        <v>1038</v>
      </c>
      <c r="C91" s="60" t="s">
        <v>703</v>
      </c>
      <c r="D91" s="2" t="s">
        <v>1039</v>
      </c>
      <c r="E91" t="s">
        <v>894</v>
      </c>
      <c r="K91" t="s">
        <v>585</v>
      </c>
      <c r="L91" t="s">
        <v>1158</v>
      </c>
      <c r="M91" s="45">
        <v>1</v>
      </c>
    </row>
    <row r="92" spans="1:13" ht="38.25" x14ac:dyDescent="0.2">
      <c r="A92">
        <v>91</v>
      </c>
      <c r="B92" t="s">
        <v>1040</v>
      </c>
      <c r="D92" s="2" t="s">
        <v>1041</v>
      </c>
      <c r="E92" t="s">
        <v>894</v>
      </c>
      <c r="K92" t="s">
        <v>585</v>
      </c>
      <c r="L92" t="s">
        <v>1160</v>
      </c>
      <c r="M92" s="45">
        <v>1</v>
      </c>
    </row>
    <row r="93" spans="1:13" x14ac:dyDescent="0.2">
      <c r="A93">
        <v>92</v>
      </c>
      <c r="B93" t="s">
        <v>1042</v>
      </c>
      <c r="C93" t="s">
        <v>664</v>
      </c>
      <c r="D93" s="2" t="s">
        <v>1043</v>
      </c>
      <c r="E93" t="s">
        <v>894</v>
      </c>
      <c r="K93" t="s">
        <v>585</v>
      </c>
      <c r="L93" t="s">
        <v>1162</v>
      </c>
      <c r="M93" s="45">
        <v>1</v>
      </c>
    </row>
    <row r="94" spans="1:13" x14ac:dyDescent="0.2">
      <c r="A94">
        <v>93</v>
      </c>
      <c r="B94" t="s">
        <v>1044</v>
      </c>
      <c r="C94" s="60" t="s">
        <v>168</v>
      </c>
      <c r="D94" s="2" t="s">
        <v>1045</v>
      </c>
      <c r="E94" t="s">
        <v>894</v>
      </c>
      <c r="K94" t="s">
        <v>585</v>
      </c>
      <c r="L94" t="s">
        <v>1164</v>
      </c>
      <c r="M94" s="45">
        <v>1</v>
      </c>
    </row>
    <row r="95" spans="1:13" x14ac:dyDescent="0.2">
      <c r="A95">
        <v>94</v>
      </c>
      <c r="B95" t="s">
        <v>1046</v>
      </c>
      <c r="C95" s="60" t="s">
        <v>585</v>
      </c>
      <c r="D95" s="2" t="s">
        <v>1047</v>
      </c>
      <c r="E95" t="s">
        <v>894</v>
      </c>
      <c r="K95" t="s">
        <v>585</v>
      </c>
      <c r="L95" t="s">
        <v>1166</v>
      </c>
      <c r="M95" s="45">
        <v>1</v>
      </c>
    </row>
    <row r="96" spans="1:13" x14ac:dyDescent="0.2">
      <c r="A96">
        <v>95</v>
      </c>
      <c r="B96" t="s">
        <v>1048</v>
      </c>
      <c r="C96" s="60" t="s">
        <v>393</v>
      </c>
      <c r="D96" s="2" t="s">
        <v>1048</v>
      </c>
      <c r="E96" t="s">
        <v>894</v>
      </c>
      <c r="K96" t="s">
        <v>585</v>
      </c>
      <c r="L96" t="s">
        <v>1168</v>
      </c>
      <c r="M96" s="45">
        <v>1</v>
      </c>
    </row>
    <row r="97" spans="1:13" x14ac:dyDescent="0.2">
      <c r="A97">
        <v>96</v>
      </c>
      <c r="B97" t="s">
        <v>1049</v>
      </c>
      <c r="C97" s="60" t="s">
        <v>267</v>
      </c>
      <c r="D97" s="2" t="s">
        <v>1050</v>
      </c>
      <c r="E97" t="s">
        <v>894</v>
      </c>
      <c r="K97" t="s">
        <v>585</v>
      </c>
      <c r="L97" t="s">
        <v>1170</v>
      </c>
      <c r="M97" s="45">
        <v>1</v>
      </c>
    </row>
    <row r="98" spans="1:13" ht="25.5" x14ac:dyDescent="0.2">
      <c r="A98">
        <v>97</v>
      </c>
      <c r="B98" t="s">
        <v>1051</v>
      </c>
      <c r="C98" s="60" t="s">
        <v>504</v>
      </c>
      <c r="D98" s="2" t="s">
        <v>1052</v>
      </c>
      <c r="E98" t="s">
        <v>894</v>
      </c>
      <c r="F98" t="s">
        <v>1053</v>
      </c>
      <c r="K98" t="s">
        <v>585</v>
      </c>
      <c r="L98" t="s">
        <v>1172</v>
      </c>
      <c r="M98" s="45">
        <v>1</v>
      </c>
    </row>
    <row r="99" spans="1:13" x14ac:dyDescent="0.2">
      <c r="A99">
        <v>98</v>
      </c>
      <c r="B99" t="s">
        <v>1054</v>
      </c>
      <c r="C99" s="60" t="s">
        <v>226</v>
      </c>
      <c r="D99" s="2" t="s">
        <v>1054</v>
      </c>
      <c r="E99" t="s">
        <v>894</v>
      </c>
      <c r="K99" t="s">
        <v>585</v>
      </c>
      <c r="L99" t="s">
        <v>1174</v>
      </c>
      <c r="M99" s="45">
        <v>1</v>
      </c>
    </row>
    <row r="100" spans="1:13" x14ac:dyDescent="0.2">
      <c r="A100">
        <v>99</v>
      </c>
      <c r="B100" t="s">
        <v>1055</v>
      </c>
      <c r="C100" s="60" t="s">
        <v>585</v>
      </c>
      <c r="D100" s="2" t="s">
        <v>1056</v>
      </c>
      <c r="E100" t="s">
        <v>894</v>
      </c>
      <c r="K100" t="s">
        <v>585</v>
      </c>
      <c r="L100" t="s">
        <v>1180</v>
      </c>
      <c r="M100" s="45">
        <v>1</v>
      </c>
    </row>
    <row r="101" spans="1:13" x14ac:dyDescent="0.2">
      <c r="A101">
        <v>100</v>
      </c>
      <c r="B101" t="s">
        <v>1057</v>
      </c>
      <c r="C101" s="60" t="s">
        <v>585</v>
      </c>
      <c r="D101" s="2" t="s">
        <v>1058</v>
      </c>
      <c r="E101" t="s">
        <v>894</v>
      </c>
      <c r="K101" t="s">
        <v>585</v>
      </c>
      <c r="L101" t="s">
        <v>1235</v>
      </c>
      <c r="M101" s="45">
        <v>1</v>
      </c>
    </row>
    <row r="102" spans="1:13" x14ac:dyDescent="0.2">
      <c r="A102">
        <v>101</v>
      </c>
      <c r="B102" t="s">
        <v>1059</v>
      </c>
      <c r="C102" s="60" t="s">
        <v>585</v>
      </c>
      <c r="D102" s="2" t="s">
        <v>1060</v>
      </c>
      <c r="E102" t="s">
        <v>894</v>
      </c>
      <c r="K102" t="s">
        <v>585</v>
      </c>
      <c r="L102" t="s">
        <v>1237</v>
      </c>
      <c r="M102" s="45">
        <v>1</v>
      </c>
    </row>
    <row r="103" spans="1:13" ht="25.5" x14ac:dyDescent="0.2">
      <c r="A103">
        <v>102</v>
      </c>
      <c r="B103" t="s">
        <v>108</v>
      </c>
      <c r="C103" s="60" t="s">
        <v>168</v>
      </c>
      <c r="D103" s="2" t="s">
        <v>1353</v>
      </c>
      <c r="K103" t="s">
        <v>585</v>
      </c>
      <c r="L103" t="s">
        <v>1239</v>
      </c>
      <c r="M103" s="45">
        <v>1</v>
      </c>
    </row>
    <row r="104" spans="1:13" x14ac:dyDescent="0.2">
      <c r="A104">
        <v>103</v>
      </c>
      <c r="B104" t="s">
        <v>1061</v>
      </c>
      <c r="C104" s="60" t="s">
        <v>1404</v>
      </c>
      <c r="D104" s="2" t="s">
        <v>1062</v>
      </c>
      <c r="E104" t="s">
        <v>894</v>
      </c>
      <c r="K104" t="s">
        <v>585</v>
      </c>
      <c r="L104" t="s">
        <v>1244</v>
      </c>
      <c r="M104" s="45">
        <v>1</v>
      </c>
    </row>
    <row r="105" spans="1:13" ht="38.25" x14ac:dyDescent="0.2">
      <c r="A105">
        <v>104</v>
      </c>
      <c r="B105" t="s">
        <v>1063</v>
      </c>
      <c r="D105" s="2" t="s">
        <v>1064</v>
      </c>
      <c r="E105" t="s">
        <v>894</v>
      </c>
      <c r="K105" t="s">
        <v>585</v>
      </c>
      <c r="L105" t="s">
        <v>1246</v>
      </c>
      <c r="M105" s="45">
        <v>1</v>
      </c>
    </row>
    <row r="106" spans="1:13" ht="25.5" x14ac:dyDescent="0.2">
      <c r="A106">
        <v>105</v>
      </c>
      <c r="B106" t="s">
        <v>1065</v>
      </c>
      <c r="C106" s="60" t="s">
        <v>168</v>
      </c>
      <c r="D106" s="2" t="s">
        <v>1066</v>
      </c>
      <c r="E106" t="s">
        <v>894</v>
      </c>
      <c r="K106" t="s">
        <v>585</v>
      </c>
      <c r="L106" t="s">
        <v>1247</v>
      </c>
      <c r="M106" s="45">
        <v>1</v>
      </c>
    </row>
    <row r="107" spans="1:13" x14ac:dyDescent="0.2">
      <c r="A107">
        <v>106</v>
      </c>
      <c r="B107" t="s">
        <v>1067</v>
      </c>
      <c r="C107" s="60" t="s">
        <v>585</v>
      </c>
      <c r="D107" s="2" t="s">
        <v>1068</v>
      </c>
      <c r="E107" t="s">
        <v>894</v>
      </c>
      <c r="K107" t="s">
        <v>585</v>
      </c>
      <c r="L107" t="s">
        <v>1248</v>
      </c>
      <c r="M107" s="45">
        <v>1</v>
      </c>
    </row>
    <row r="108" spans="1:13" x14ac:dyDescent="0.2">
      <c r="A108">
        <v>107</v>
      </c>
      <c r="B108" t="s">
        <v>1069</v>
      </c>
      <c r="C108" s="60" t="s">
        <v>585</v>
      </c>
      <c r="D108" s="2" t="s">
        <v>1070</v>
      </c>
      <c r="E108" t="s">
        <v>894</v>
      </c>
      <c r="K108" t="s">
        <v>585</v>
      </c>
      <c r="L108" t="s">
        <v>1249</v>
      </c>
      <c r="M108" s="45">
        <v>1</v>
      </c>
    </row>
    <row r="109" spans="1:13" x14ac:dyDescent="0.2">
      <c r="A109">
        <v>108</v>
      </c>
      <c r="B109" t="s">
        <v>1071</v>
      </c>
      <c r="C109" s="60" t="s">
        <v>585</v>
      </c>
      <c r="D109" s="2" t="s">
        <v>1072</v>
      </c>
      <c r="E109" t="s">
        <v>894</v>
      </c>
      <c r="K109" t="s">
        <v>585</v>
      </c>
      <c r="L109" t="s">
        <v>1251</v>
      </c>
      <c r="M109" s="45">
        <v>1</v>
      </c>
    </row>
    <row r="110" spans="1:13" x14ac:dyDescent="0.2">
      <c r="A110">
        <v>109</v>
      </c>
      <c r="B110" t="s">
        <v>1073</v>
      </c>
      <c r="C110" s="60" t="s">
        <v>226</v>
      </c>
      <c r="D110" s="2" t="s">
        <v>1074</v>
      </c>
      <c r="E110" t="s">
        <v>894</v>
      </c>
      <c r="K110" t="s">
        <v>585</v>
      </c>
      <c r="L110" t="s">
        <v>1253</v>
      </c>
      <c r="M110" s="45">
        <v>1</v>
      </c>
    </row>
    <row r="111" spans="1:13" ht="25.5" x14ac:dyDescent="0.2">
      <c r="A111">
        <v>110</v>
      </c>
      <c r="B111" t="s">
        <v>1075</v>
      </c>
      <c r="C111" s="60" t="s">
        <v>171</v>
      </c>
      <c r="D111" s="2" t="s">
        <v>1076</v>
      </c>
      <c r="E111" t="s">
        <v>894</v>
      </c>
      <c r="K111" t="s">
        <v>585</v>
      </c>
      <c r="L111" t="s">
        <v>1255</v>
      </c>
      <c r="M111" s="45">
        <v>1</v>
      </c>
    </row>
    <row r="112" spans="1:13" x14ac:dyDescent="0.2">
      <c r="A112">
        <v>111</v>
      </c>
      <c r="B112" t="s">
        <v>1077</v>
      </c>
      <c r="C112" s="60" t="s">
        <v>585</v>
      </c>
      <c r="D112" s="2" t="s">
        <v>1078</v>
      </c>
      <c r="E112" t="s">
        <v>894</v>
      </c>
      <c r="K112" t="s">
        <v>585</v>
      </c>
      <c r="L112" t="s">
        <v>1257</v>
      </c>
      <c r="M112" s="45">
        <v>1</v>
      </c>
    </row>
    <row r="113" spans="1:13" ht="25.5" x14ac:dyDescent="0.2">
      <c r="A113">
        <v>112</v>
      </c>
      <c r="B113" t="s">
        <v>1079</v>
      </c>
      <c r="D113" s="2" t="s">
        <v>1080</v>
      </c>
      <c r="E113" t="s">
        <v>894</v>
      </c>
      <c r="K113" t="s">
        <v>585</v>
      </c>
      <c r="L113" t="s">
        <v>1259</v>
      </c>
      <c r="M113" s="45">
        <v>1</v>
      </c>
    </row>
    <row r="114" spans="1:13" x14ac:dyDescent="0.2">
      <c r="A114">
        <v>113</v>
      </c>
      <c r="B114" t="s">
        <v>1081</v>
      </c>
      <c r="D114" s="2" t="s">
        <v>1081</v>
      </c>
      <c r="E114" t="s">
        <v>894</v>
      </c>
      <c r="K114" t="s">
        <v>585</v>
      </c>
      <c r="L114" t="s">
        <v>1261</v>
      </c>
      <c r="M114" s="45">
        <v>1</v>
      </c>
    </row>
    <row r="115" spans="1:13" x14ac:dyDescent="0.2">
      <c r="A115">
        <v>114</v>
      </c>
      <c r="B115" t="s">
        <v>1082</v>
      </c>
      <c r="C115" s="60" t="s">
        <v>585</v>
      </c>
      <c r="D115" s="2" t="s">
        <v>1083</v>
      </c>
      <c r="E115" t="s">
        <v>894</v>
      </c>
      <c r="K115" t="s">
        <v>585</v>
      </c>
      <c r="L115" t="s">
        <v>1263</v>
      </c>
      <c r="M115" s="45">
        <v>1</v>
      </c>
    </row>
    <row r="116" spans="1:13" ht="25.5" x14ac:dyDescent="0.2">
      <c r="A116">
        <v>115</v>
      </c>
      <c r="B116" t="s">
        <v>1348</v>
      </c>
      <c r="C116" s="60" t="s">
        <v>168</v>
      </c>
      <c r="D116" s="2" t="s">
        <v>1347</v>
      </c>
      <c r="K116" t="s">
        <v>585</v>
      </c>
      <c r="L116" t="s">
        <v>1265</v>
      </c>
      <c r="M116" s="45">
        <v>1</v>
      </c>
    </row>
    <row r="117" spans="1:13" ht="25.5" x14ac:dyDescent="0.2">
      <c r="A117">
        <v>116</v>
      </c>
      <c r="B117" t="s">
        <v>1084</v>
      </c>
      <c r="C117" s="60" t="s">
        <v>171</v>
      </c>
      <c r="D117" s="2" t="s">
        <v>1085</v>
      </c>
      <c r="E117" t="s">
        <v>894</v>
      </c>
      <c r="K117" t="s">
        <v>585</v>
      </c>
      <c r="L117" t="s">
        <v>1272</v>
      </c>
      <c r="M117" s="45">
        <v>1</v>
      </c>
    </row>
    <row r="118" spans="1:13" x14ac:dyDescent="0.2">
      <c r="A118">
        <v>117</v>
      </c>
      <c r="B118" t="s">
        <v>1086</v>
      </c>
      <c r="C118" s="60" t="s">
        <v>168</v>
      </c>
      <c r="D118" s="2" t="s">
        <v>1087</v>
      </c>
      <c r="E118" t="s">
        <v>894</v>
      </c>
      <c r="K118" t="s">
        <v>585</v>
      </c>
      <c r="L118" t="s">
        <v>1274</v>
      </c>
      <c r="M118" s="45">
        <v>1</v>
      </c>
    </row>
    <row r="119" spans="1:13" ht="25.5" x14ac:dyDescent="0.2">
      <c r="A119">
        <v>118</v>
      </c>
      <c r="B119" t="s">
        <v>1088</v>
      </c>
      <c r="D119" s="2" t="s">
        <v>1089</v>
      </c>
      <c r="E119" t="s">
        <v>894</v>
      </c>
      <c r="K119" t="s">
        <v>585</v>
      </c>
      <c r="L119" t="s">
        <v>1276</v>
      </c>
      <c r="M119" s="45">
        <v>1</v>
      </c>
    </row>
    <row r="120" spans="1:13" x14ac:dyDescent="0.2">
      <c r="A120">
        <v>119</v>
      </c>
      <c r="B120" t="s">
        <v>1090</v>
      </c>
      <c r="C120" s="60" t="s">
        <v>585</v>
      </c>
      <c r="D120" s="2" t="s">
        <v>1091</v>
      </c>
      <c r="E120" t="s">
        <v>894</v>
      </c>
      <c r="K120" t="s">
        <v>585</v>
      </c>
      <c r="L120" t="s">
        <v>1278</v>
      </c>
      <c r="M120" s="45">
        <v>1</v>
      </c>
    </row>
    <row r="121" spans="1:13" x14ac:dyDescent="0.2">
      <c r="A121">
        <v>120</v>
      </c>
      <c r="B121" t="s">
        <v>1092</v>
      </c>
      <c r="C121" s="60" t="s">
        <v>585</v>
      </c>
      <c r="D121" s="2" t="s">
        <v>1093</v>
      </c>
      <c r="E121" t="s">
        <v>894</v>
      </c>
      <c r="K121" t="s">
        <v>585</v>
      </c>
      <c r="L121" t="s">
        <v>1280</v>
      </c>
      <c r="M121" s="45">
        <v>1</v>
      </c>
    </row>
    <row r="122" spans="1:13" x14ac:dyDescent="0.2">
      <c r="A122">
        <v>121</v>
      </c>
      <c r="B122" t="s">
        <v>1094</v>
      </c>
      <c r="C122" s="60" t="s">
        <v>585</v>
      </c>
      <c r="D122" s="2" t="s">
        <v>1095</v>
      </c>
      <c r="E122" t="s">
        <v>894</v>
      </c>
      <c r="K122" t="s">
        <v>585</v>
      </c>
      <c r="L122" t="s">
        <v>1329</v>
      </c>
      <c r="M122" s="45">
        <v>1</v>
      </c>
    </row>
    <row r="123" spans="1:13" x14ac:dyDescent="0.2">
      <c r="A123">
        <v>122</v>
      </c>
      <c r="B123" t="s">
        <v>1096</v>
      </c>
      <c r="C123" s="60" t="s">
        <v>585</v>
      </c>
      <c r="D123" s="2" t="s">
        <v>1097</v>
      </c>
      <c r="E123" t="s">
        <v>894</v>
      </c>
      <c r="K123" t="s">
        <v>585</v>
      </c>
      <c r="L123" t="s">
        <v>1331</v>
      </c>
      <c r="M123" s="45">
        <v>1</v>
      </c>
    </row>
    <row r="124" spans="1:13" x14ac:dyDescent="0.2">
      <c r="A124">
        <v>123</v>
      </c>
      <c r="B124" t="s">
        <v>1098</v>
      </c>
      <c r="C124" s="60" t="s">
        <v>585</v>
      </c>
      <c r="D124" s="2" t="s">
        <v>1099</v>
      </c>
      <c r="E124" t="s">
        <v>894</v>
      </c>
      <c r="K124" t="s">
        <v>1019</v>
      </c>
      <c r="L124" t="s">
        <v>1019</v>
      </c>
      <c r="M124" s="45">
        <v>1</v>
      </c>
    </row>
    <row r="125" spans="1:13" x14ac:dyDescent="0.2">
      <c r="A125">
        <v>124</v>
      </c>
      <c r="B125" t="s">
        <v>1100</v>
      </c>
      <c r="C125" s="60" t="s">
        <v>226</v>
      </c>
      <c r="D125" s="2" t="s">
        <v>1100</v>
      </c>
      <c r="E125" t="s">
        <v>894</v>
      </c>
      <c r="K125" t="s">
        <v>168</v>
      </c>
      <c r="L125" t="s">
        <v>899</v>
      </c>
      <c r="M125" s="45">
        <v>1</v>
      </c>
    </row>
    <row r="126" spans="1:13" x14ac:dyDescent="0.2">
      <c r="A126">
        <v>125</v>
      </c>
      <c r="B126" t="s">
        <v>1101</v>
      </c>
      <c r="C126" s="60" t="s">
        <v>585</v>
      </c>
      <c r="D126" s="2" t="s">
        <v>1102</v>
      </c>
      <c r="E126" t="s">
        <v>894</v>
      </c>
      <c r="K126" t="s">
        <v>168</v>
      </c>
      <c r="L126" t="s">
        <v>1013</v>
      </c>
      <c r="M126" s="45">
        <v>1</v>
      </c>
    </row>
    <row r="127" spans="1:13" x14ac:dyDescent="0.2">
      <c r="A127">
        <v>126</v>
      </c>
      <c r="B127" t="s">
        <v>1103</v>
      </c>
      <c r="C127" s="60" t="s">
        <v>585</v>
      </c>
      <c r="D127" s="2" t="s">
        <v>1104</v>
      </c>
      <c r="E127" t="s">
        <v>894</v>
      </c>
      <c r="K127" t="s">
        <v>168</v>
      </c>
      <c r="L127" t="s">
        <v>1350</v>
      </c>
      <c r="M127" s="45">
        <v>1</v>
      </c>
    </row>
    <row r="128" spans="1:13" x14ac:dyDescent="0.2">
      <c r="A128">
        <v>127</v>
      </c>
      <c r="B128" t="s">
        <v>1105</v>
      </c>
      <c r="C128" s="60" t="s">
        <v>585</v>
      </c>
      <c r="D128" s="2" t="s">
        <v>1106</v>
      </c>
      <c r="E128" t="s">
        <v>894</v>
      </c>
      <c r="K128" t="s">
        <v>168</v>
      </c>
      <c r="L128" t="s">
        <v>1351</v>
      </c>
      <c r="M128" s="45">
        <v>1</v>
      </c>
    </row>
    <row r="129" spans="1:13" x14ac:dyDescent="0.2">
      <c r="A129">
        <v>128</v>
      </c>
      <c r="B129" t="s">
        <v>1107</v>
      </c>
      <c r="C129" s="60" t="s">
        <v>585</v>
      </c>
      <c r="D129" s="2" t="s">
        <v>1108</v>
      </c>
      <c r="E129" t="s">
        <v>894</v>
      </c>
      <c r="K129" t="s">
        <v>168</v>
      </c>
      <c r="L129" t="s">
        <v>109</v>
      </c>
      <c r="M129" s="45">
        <v>1</v>
      </c>
    </row>
    <row r="130" spans="1:13" x14ac:dyDescent="0.2">
      <c r="A130">
        <v>129</v>
      </c>
      <c r="B130" t="s">
        <v>1109</v>
      </c>
      <c r="C130" s="60" t="s">
        <v>585</v>
      </c>
      <c r="D130" s="2" t="s">
        <v>1110</v>
      </c>
      <c r="E130" t="s">
        <v>894</v>
      </c>
      <c r="K130" t="s">
        <v>168</v>
      </c>
      <c r="L130" t="s">
        <v>1044</v>
      </c>
      <c r="M130" s="45">
        <v>1</v>
      </c>
    </row>
    <row r="131" spans="1:13" x14ac:dyDescent="0.2">
      <c r="A131">
        <v>130</v>
      </c>
      <c r="B131" t="s">
        <v>1111</v>
      </c>
      <c r="C131" s="60" t="s">
        <v>585</v>
      </c>
      <c r="D131" s="2" t="s">
        <v>1112</v>
      </c>
      <c r="E131" t="s">
        <v>894</v>
      </c>
      <c r="K131" t="s">
        <v>168</v>
      </c>
      <c r="L131" t="s">
        <v>108</v>
      </c>
      <c r="M131" s="45">
        <v>1</v>
      </c>
    </row>
    <row r="132" spans="1:13" x14ac:dyDescent="0.2">
      <c r="A132">
        <v>131</v>
      </c>
      <c r="B132" t="s">
        <v>1113</v>
      </c>
      <c r="C132" s="60" t="s">
        <v>585</v>
      </c>
      <c r="D132" s="2" t="s">
        <v>1114</v>
      </c>
      <c r="E132" t="s">
        <v>894</v>
      </c>
      <c r="K132" t="s">
        <v>168</v>
      </c>
      <c r="L132" t="s">
        <v>1065</v>
      </c>
      <c r="M132" s="45">
        <v>1</v>
      </c>
    </row>
    <row r="133" spans="1:13" x14ac:dyDescent="0.2">
      <c r="A133">
        <v>132</v>
      </c>
      <c r="B133" t="s">
        <v>1115</v>
      </c>
      <c r="C133" s="60" t="s">
        <v>585</v>
      </c>
      <c r="D133" s="2" t="s">
        <v>1116</v>
      </c>
      <c r="E133" t="s">
        <v>894</v>
      </c>
      <c r="K133" t="s">
        <v>168</v>
      </c>
      <c r="L133" t="s">
        <v>1348</v>
      </c>
      <c r="M133" s="45">
        <v>1</v>
      </c>
    </row>
    <row r="134" spans="1:13" x14ac:dyDescent="0.2">
      <c r="A134">
        <v>133</v>
      </c>
      <c r="B134" t="s">
        <v>1117</v>
      </c>
      <c r="C134" s="60" t="s">
        <v>585</v>
      </c>
      <c r="D134" s="2" t="s">
        <v>1118</v>
      </c>
      <c r="E134" t="s">
        <v>894</v>
      </c>
      <c r="K134" t="s">
        <v>168</v>
      </c>
      <c r="L134" t="s">
        <v>1086</v>
      </c>
      <c r="M134" s="45">
        <v>1</v>
      </c>
    </row>
    <row r="135" spans="1:13" x14ac:dyDescent="0.2">
      <c r="A135">
        <v>134</v>
      </c>
      <c r="B135" t="s">
        <v>1119</v>
      </c>
      <c r="C135" s="60" t="s">
        <v>585</v>
      </c>
      <c r="D135" s="2" t="s">
        <v>1120</v>
      </c>
      <c r="E135" t="s">
        <v>894</v>
      </c>
      <c r="K135" t="s">
        <v>168</v>
      </c>
      <c r="L135" t="s">
        <v>1149</v>
      </c>
      <c r="M135" s="45">
        <v>1</v>
      </c>
    </row>
    <row r="136" spans="1:13" x14ac:dyDescent="0.2">
      <c r="A136">
        <v>135</v>
      </c>
      <c r="B136" t="s">
        <v>1121</v>
      </c>
      <c r="C136" s="60" t="s">
        <v>585</v>
      </c>
      <c r="D136" s="2" t="s">
        <v>1122</v>
      </c>
      <c r="E136" t="s">
        <v>894</v>
      </c>
      <c r="K136" t="s">
        <v>168</v>
      </c>
      <c r="L136" t="s">
        <v>824</v>
      </c>
      <c r="M136" s="45">
        <v>1</v>
      </c>
    </row>
    <row r="137" spans="1:13" x14ac:dyDescent="0.2">
      <c r="A137">
        <v>136</v>
      </c>
      <c r="B137" t="s">
        <v>1123</v>
      </c>
      <c r="C137" s="60" t="s">
        <v>585</v>
      </c>
      <c r="D137" s="2" t="s">
        <v>1124</v>
      </c>
      <c r="E137" t="s">
        <v>894</v>
      </c>
      <c r="K137" t="s">
        <v>168</v>
      </c>
      <c r="L137" t="s">
        <v>1439</v>
      </c>
      <c r="M137" s="45">
        <v>1</v>
      </c>
    </row>
    <row r="138" spans="1:13" x14ac:dyDescent="0.2">
      <c r="A138">
        <v>137</v>
      </c>
      <c r="B138" t="s">
        <v>1125</v>
      </c>
      <c r="C138" s="60" t="s">
        <v>585</v>
      </c>
      <c r="D138" s="2" t="s">
        <v>1126</v>
      </c>
      <c r="E138" t="s">
        <v>894</v>
      </c>
      <c r="K138" t="s">
        <v>168</v>
      </c>
      <c r="L138" t="s">
        <v>1222</v>
      </c>
      <c r="M138" s="45">
        <v>1</v>
      </c>
    </row>
    <row r="139" spans="1:13" x14ac:dyDescent="0.2">
      <c r="A139">
        <v>138</v>
      </c>
      <c r="B139" t="s">
        <v>1127</v>
      </c>
      <c r="C139" s="60" t="s">
        <v>585</v>
      </c>
      <c r="D139" s="2" t="s">
        <v>1128</v>
      </c>
      <c r="E139" t="s">
        <v>894</v>
      </c>
      <c r="K139" t="s">
        <v>168</v>
      </c>
      <c r="L139" t="s">
        <v>1233</v>
      </c>
      <c r="M139" s="45">
        <v>1</v>
      </c>
    </row>
    <row r="140" spans="1:13" x14ac:dyDescent="0.2">
      <c r="A140">
        <v>139</v>
      </c>
      <c r="B140" t="s">
        <v>1129</v>
      </c>
      <c r="C140" s="60" t="s">
        <v>585</v>
      </c>
      <c r="D140" s="2" t="s">
        <v>1130</v>
      </c>
      <c r="E140" t="s">
        <v>894</v>
      </c>
      <c r="K140" t="s">
        <v>168</v>
      </c>
      <c r="L140" t="s">
        <v>1283</v>
      </c>
      <c r="M140" s="45">
        <v>1</v>
      </c>
    </row>
    <row r="141" spans="1:13" x14ac:dyDescent="0.2">
      <c r="A141">
        <v>140</v>
      </c>
      <c r="B141" t="s">
        <v>1131</v>
      </c>
      <c r="C141" s="60" t="s">
        <v>585</v>
      </c>
      <c r="D141" s="2" t="s">
        <v>1132</v>
      </c>
      <c r="E141" t="s">
        <v>894</v>
      </c>
      <c r="K141" t="s">
        <v>168</v>
      </c>
      <c r="L141" t="s">
        <v>1305</v>
      </c>
      <c r="M141" s="45">
        <v>1</v>
      </c>
    </row>
    <row r="142" spans="1:13" x14ac:dyDescent="0.2">
      <c r="A142">
        <v>141</v>
      </c>
      <c r="B142" t="s">
        <v>1133</v>
      </c>
      <c r="C142" s="60" t="s">
        <v>1404</v>
      </c>
      <c r="D142" s="2" t="s">
        <v>1134</v>
      </c>
      <c r="E142" t="s">
        <v>894</v>
      </c>
      <c r="K142" t="s">
        <v>1442</v>
      </c>
      <c r="L142" t="s">
        <v>1442</v>
      </c>
      <c r="M142" s="45">
        <v>1</v>
      </c>
    </row>
    <row r="143" spans="1:13" x14ac:dyDescent="0.2">
      <c r="A143">
        <v>142</v>
      </c>
      <c r="B143" t="s">
        <v>1135</v>
      </c>
      <c r="C143" s="60" t="s">
        <v>585</v>
      </c>
      <c r="D143" s="2" t="s">
        <v>1136</v>
      </c>
      <c r="E143" t="s">
        <v>894</v>
      </c>
      <c r="K143" t="s">
        <v>570</v>
      </c>
      <c r="L143" t="s">
        <v>1035</v>
      </c>
      <c r="M143" s="45">
        <v>1</v>
      </c>
    </row>
    <row r="144" spans="1:13" x14ac:dyDescent="0.2">
      <c r="A144">
        <v>143</v>
      </c>
      <c r="B144" t="s">
        <v>1137</v>
      </c>
      <c r="C144" s="60" t="s">
        <v>585</v>
      </c>
      <c r="D144" s="2" t="s">
        <v>1138</v>
      </c>
      <c r="E144" t="s">
        <v>894</v>
      </c>
      <c r="K144" t="s">
        <v>570</v>
      </c>
      <c r="L144" t="s">
        <v>1267</v>
      </c>
      <c r="M144" s="45">
        <v>1</v>
      </c>
    </row>
    <row r="145" spans="1:13" x14ac:dyDescent="0.2">
      <c r="A145">
        <v>144</v>
      </c>
      <c r="B145" t="s">
        <v>1139</v>
      </c>
      <c r="C145" s="60" t="s">
        <v>585</v>
      </c>
      <c r="D145" s="2" t="s">
        <v>1140</v>
      </c>
      <c r="E145" t="s">
        <v>894</v>
      </c>
      <c r="K145" t="s">
        <v>212</v>
      </c>
      <c r="L145" t="s">
        <v>1033</v>
      </c>
      <c r="M145" s="45">
        <v>1</v>
      </c>
    </row>
    <row r="146" spans="1:13" x14ac:dyDescent="0.2">
      <c r="A146">
        <v>145</v>
      </c>
      <c r="B146" t="s">
        <v>1141</v>
      </c>
      <c r="C146" s="60" t="s">
        <v>585</v>
      </c>
      <c r="D146" s="2" t="s">
        <v>1142</v>
      </c>
      <c r="E146" t="s">
        <v>894</v>
      </c>
      <c r="K146" t="s">
        <v>226</v>
      </c>
      <c r="L146" t="s">
        <v>1054</v>
      </c>
      <c r="M146" s="45">
        <v>1</v>
      </c>
    </row>
    <row r="147" spans="1:13" x14ac:dyDescent="0.2">
      <c r="A147">
        <v>146</v>
      </c>
      <c r="B147" t="s">
        <v>1143</v>
      </c>
      <c r="C147" s="60" t="s">
        <v>585</v>
      </c>
      <c r="D147" s="2" t="s">
        <v>1144</v>
      </c>
      <c r="E147" t="s">
        <v>894</v>
      </c>
      <c r="K147" t="s">
        <v>226</v>
      </c>
      <c r="L147" t="s">
        <v>1073</v>
      </c>
      <c r="M147" s="45">
        <v>1</v>
      </c>
    </row>
    <row r="148" spans="1:13" x14ac:dyDescent="0.2">
      <c r="A148">
        <v>147</v>
      </c>
      <c r="B148" t="s">
        <v>1145</v>
      </c>
      <c r="C148" s="60" t="s">
        <v>1404</v>
      </c>
      <c r="D148" s="2" t="s">
        <v>1146</v>
      </c>
      <c r="E148" t="s">
        <v>894</v>
      </c>
      <c r="K148" t="s">
        <v>226</v>
      </c>
      <c r="L148" t="s">
        <v>1100</v>
      </c>
      <c r="M148" s="45">
        <v>1</v>
      </c>
    </row>
    <row r="149" spans="1:13" x14ac:dyDescent="0.2">
      <c r="A149">
        <v>148</v>
      </c>
      <c r="B149" t="s">
        <v>1147</v>
      </c>
      <c r="C149" s="60" t="s">
        <v>585</v>
      </c>
      <c r="D149" s="2" t="s">
        <v>1148</v>
      </c>
      <c r="E149" t="s">
        <v>894</v>
      </c>
      <c r="K149" t="s">
        <v>239</v>
      </c>
      <c r="L149" t="s">
        <v>1028</v>
      </c>
      <c r="M149" s="45">
        <v>1</v>
      </c>
    </row>
    <row r="150" spans="1:13" ht="25.5" x14ac:dyDescent="0.2">
      <c r="A150">
        <v>149</v>
      </c>
      <c r="B150" t="s">
        <v>1149</v>
      </c>
      <c r="C150" s="60" t="s">
        <v>168</v>
      </c>
      <c r="D150" s="2" t="s">
        <v>1150</v>
      </c>
      <c r="E150" t="s">
        <v>894</v>
      </c>
      <c r="K150" t="s">
        <v>239</v>
      </c>
      <c r="L150" t="s">
        <v>1268</v>
      </c>
      <c r="M150" s="45">
        <v>1</v>
      </c>
    </row>
    <row r="151" spans="1:13" x14ac:dyDescent="0.2">
      <c r="A151">
        <v>150</v>
      </c>
      <c r="B151" t="s">
        <v>1151</v>
      </c>
      <c r="D151" s="2" t="s">
        <v>1152</v>
      </c>
      <c r="E151" t="s">
        <v>894</v>
      </c>
      <c r="K151" t="s">
        <v>239</v>
      </c>
      <c r="L151" t="s">
        <v>1320</v>
      </c>
      <c r="M151" s="45">
        <v>1</v>
      </c>
    </row>
    <row r="152" spans="1:13" ht="51" x14ac:dyDescent="0.2">
      <c r="A152">
        <v>151</v>
      </c>
      <c r="B152" t="s">
        <v>1153</v>
      </c>
      <c r="D152" s="2" t="s">
        <v>1154</v>
      </c>
      <c r="E152" t="s">
        <v>894</v>
      </c>
      <c r="K152" t="s">
        <v>1404</v>
      </c>
      <c r="L152" t="s">
        <v>1061</v>
      </c>
      <c r="M152" s="45">
        <v>1</v>
      </c>
    </row>
    <row r="153" spans="1:13" ht="38.25" x14ac:dyDescent="0.2">
      <c r="A153">
        <v>152</v>
      </c>
      <c r="B153" t="s">
        <v>824</v>
      </c>
      <c r="C153" t="s">
        <v>168</v>
      </c>
      <c r="D153" s="2" t="s">
        <v>1155</v>
      </c>
      <c r="E153" t="s">
        <v>894</v>
      </c>
      <c r="K153" t="s">
        <v>1404</v>
      </c>
      <c r="L153" t="s">
        <v>1133</v>
      </c>
      <c r="M153" s="45">
        <v>1</v>
      </c>
    </row>
    <row r="154" spans="1:13" ht="25.5" x14ac:dyDescent="0.2">
      <c r="A154">
        <v>153</v>
      </c>
      <c r="B154" t="s">
        <v>1156</v>
      </c>
      <c r="C154" t="s">
        <v>585</v>
      </c>
      <c r="D154" s="2" t="s">
        <v>1157</v>
      </c>
      <c r="E154" t="s">
        <v>894</v>
      </c>
      <c r="K154" t="s">
        <v>1404</v>
      </c>
      <c r="L154" t="s">
        <v>1145</v>
      </c>
      <c r="M154" s="45">
        <v>1</v>
      </c>
    </row>
    <row r="155" spans="1:13" x14ac:dyDescent="0.2">
      <c r="A155">
        <v>154</v>
      </c>
      <c r="B155" t="s">
        <v>1158</v>
      </c>
      <c r="C155" t="s">
        <v>585</v>
      </c>
      <c r="D155" s="2" t="s">
        <v>1159</v>
      </c>
      <c r="E155" t="s">
        <v>894</v>
      </c>
      <c r="K155" t="s">
        <v>267</v>
      </c>
      <c r="L155" t="s">
        <v>1335</v>
      </c>
      <c r="M155" s="45">
        <v>1</v>
      </c>
    </row>
    <row r="156" spans="1:13" x14ac:dyDescent="0.2">
      <c r="A156">
        <v>155</v>
      </c>
      <c r="B156" t="s">
        <v>1160</v>
      </c>
      <c r="C156" t="s">
        <v>585</v>
      </c>
      <c r="D156" s="2" t="s">
        <v>1161</v>
      </c>
      <c r="E156" t="s">
        <v>894</v>
      </c>
      <c r="K156" t="s">
        <v>267</v>
      </c>
      <c r="L156" t="s">
        <v>1341</v>
      </c>
      <c r="M156" s="45">
        <v>1</v>
      </c>
    </row>
    <row r="157" spans="1:13" x14ac:dyDescent="0.2">
      <c r="A157">
        <v>156</v>
      </c>
      <c r="B157" t="s">
        <v>1162</v>
      </c>
      <c r="C157" t="s">
        <v>585</v>
      </c>
      <c r="D157" s="2" t="s">
        <v>1163</v>
      </c>
      <c r="E157" t="s">
        <v>894</v>
      </c>
      <c r="K157" t="s">
        <v>267</v>
      </c>
      <c r="L157" t="s">
        <v>1340</v>
      </c>
      <c r="M157" s="45">
        <v>1</v>
      </c>
    </row>
    <row r="158" spans="1:13" x14ac:dyDescent="0.2">
      <c r="A158">
        <v>157</v>
      </c>
      <c r="B158" t="s">
        <v>1164</v>
      </c>
      <c r="C158" t="s">
        <v>585</v>
      </c>
      <c r="D158" s="2" t="s">
        <v>1165</v>
      </c>
      <c r="E158" t="s">
        <v>894</v>
      </c>
      <c r="K158" t="s">
        <v>267</v>
      </c>
      <c r="L158" t="s">
        <v>1029</v>
      </c>
      <c r="M158" s="45">
        <v>1</v>
      </c>
    </row>
    <row r="159" spans="1:13" x14ac:dyDescent="0.2">
      <c r="A159">
        <v>158</v>
      </c>
      <c r="B159" t="s">
        <v>1166</v>
      </c>
      <c r="C159" t="s">
        <v>585</v>
      </c>
      <c r="D159" s="2" t="s">
        <v>1167</v>
      </c>
      <c r="E159" t="s">
        <v>894</v>
      </c>
      <c r="K159" t="s">
        <v>267</v>
      </c>
      <c r="L159" t="s">
        <v>1049</v>
      </c>
      <c r="M159" s="45">
        <v>1</v>
      </c>
    </row>
    <row r="160" spans="1:13" x14ac:dyDescent="0.2">
      <c r="A160">
        <v>159</v>
      </c>
      <c r="B160" t="s">
        <v>1168</v>
      </c>
      <c r="C160" t="s">
        <v>585</v>
      </c>
      <c r="D160" s="2" t="s">
        <v>1169</v>
      </c>
      <c r="E160" t="s">
        <v>894</v>
      </c>
      <c r="K160" t="s">
        <v>267</v>
      </c>
      <c r="L160" t="s">
        <v>1241</v>
      </c>
      <c r="M160" s="45">
        <v>1</v>
      </c>
    </row>
    <row r="161" spans="1:13" x14ac:dyDescent="0.2">
      <c r="A161">
        <v>160</v>
      </c>
      <c r="B161" t="s">
        <v>1170</v>
      </c>
      <c r="C161" t="s">
        <v>585</v>
      </c>
      <c r="D161" s="2" t="s">
        <v>1171</v>
      </c>
      <c r="E161" t="s">
        <v>894</v>
      </c>
      <c r="K161" t="s">
        <v>267</v>
      </c>
      <c r="L161" t="s">
        <v>1242</v>
      </c>
      <c r="M161" s="45">
        <v>1</v>
      </c>
    </row>
    <row r="162" spans="1:13" x14ac:dyDescent="0.2">
      <c r="A162">
        <v>161</v>
      </c>
      <c r="B162" t="s">
        <v>1172</v>
      </c>
      <c r="C162" t="s">
        <v>585</v>
      </c>
      <c r="D162" s="2" t="s">
        <v>1173</v>
      </c>
      <c r="E162" t="s">
        <v>894</v>
      </c>
      <c r="K162" t="s">
        <v>267</v>
      </c>
      <c r="L162" t="s">
        <v>1307</v>
      </c>
      <c r="M162" s="45">
        <v>1</v>
      </c>
    </row>
    <row r="163" spans="1:13" x14ac:dyDescent="0.2">
      <c r="A163">
        <v>162</v>
      </c>
      <c r="B163" t="s">
        <v>1174</v>
      </c>
      <c r="C163" t="s">
        <v>585</v>
      </c>
      <c r="D163" s="2" t="s">
        <v>1175</v>
      </c>
      <c r="E163" t="s">
        <v>894</v>
      </c>
      <c r="K163" t="s">
        <v>267</v>
      </c>
      <c r="L163" t="s">
        <v>1309</v>
      </c>
      <c r="M163" s="45">
        <v>1</v>
      </c>
    </row>
    <row r="164" spans="1:13" x14ac:dyDescent="0.2">
      <c r="A164">
        <v>163</v>
      </c>
      <c r="B164" t="s">
        <v>1176</v>
      </c>
      <c r="D164" s="2" t="s">
        <v>1177</v>
      </c>
      <c r="E164" t="s">
        <v>894</v>
      </c>
      <c r="K164" t="s">
        <v>267</v>
      </c>
      <c r="L164" t="s">
        <v>1313</v>
      </c>
      <c r="M164" s="45">
        <v>1</v>
      </c>
    </row>
    <row r="165" spans="1:13" x14ac:dyDescent="0.2">
      <c r="A165">
        <v>164</v>
      </c>
      <c r="B165" t="s">
        <v>1178</v>
      </c>
      <c r="D165" s="2" t="s">
        <v>1179</v>
      </c>
      <c r="E165" t="s">
        <v>894</v>
      </c>
      <c r="K165" t="s">
        <v>291</v>
      </c>
      <c r="L165" t="s">
        <v>1187</v>
      </c>
      <c r="M165" s="45">
        <v>1</v>
      </c>
    </row>
    <row r="166" spans="1:13" x14ac:dyDescent="0.2">
      <c r="A166">
        <v>165</v>
      </c>
      <c r="B166" t="s">
        <v>1180</v>
      </c>
      <c r="C166" t="s">
        <v>585</v>
      </c>
      <c r="D166" s="2" t="s">
        <v>1181</v>
      </c>
      <c r="E166" t="s">
        <v>894</v>
      </c>
      <c r="K166" t="s">
        <v>291</v>
      </c>
      <c r="L166" t="s">
        <v>1189</v>
      </c>
      <c r="M166" s="45">
        <v>1</v>
      </c>
    </row>
    <row r="167" spans="1:13" x14ac:dyDescent="0.2">
      <c r="A167">
        <v>166</v>
      </c>
      <c r="B167" t="s">
        <v>557</v>
      </c>
      <c r="D167" s="2" t="s">
        <v>1182</v>
      </c>
      <c r="E167" t="s">
        <v>894</v>
      </c>
      <c r="K167" t="s">
        <v>291</v>
      </c>
      <c r="L167" t="s">
        <v>1191</v>
      </c>
      <c r="M167" s="45">
        <v>1</v>
      </c>
    </row>
    <row r="168" spans="1:13" x14ac:dyDescent="0.2">
      <c r="A168">
        <v>167</v>
      </c>
      <c r="B168" t="s">
        <v>1183</v>
      </c>
      <c r="D168" s="2" t="s">
        <v>1184</v>
      </c>
      <c r="E168" t="s">
        <v>894</v>
      </c>
      <c r="K168" t="s">
        <v>291</v>
      </c>
      <c r="L168" t="s">
        <v>1193</v>
      </c>
      <c r="M168" s="45">
        <v>1</v>
      </c>
    </row>
    <row r="169" spans="1:13" ht="25.5" x14ac:dyDescent="0.2">
      <c r="A169">
        <v>168</v>
      </c>
      <c r="B169" t="s">
        <v>1185</v>
      </c>
      <c r="D169" s="2" t="s">
        <v>1186</v>
      </c>
      <c r="E169" t="s">
        <v>894</v>
      </c>
      <c r="K169" t="s">
        <v>291</v>
      </c>
      <c r="L169" t="s">
        <v>1195</v>
      </c>
      <c r="M169" s="45">
        <v>1</v>
      </c>
    </row>
    <row r="170" spans="1:13" x14ac:dyDescent="0.2">
      <c r="A170">
        <v>169</v>
      </c>
      <c r="B170" t="s">
        <v>1187</v>
      </c>
      <c r="C170" t="s">
        <v>291</v>
      </c>
      <c r="D170" s="2" t="s">
        <v>1188</v>
      </c>
      <c r="E170" t="s">
        <v>894</v>
      </c>
      <c r="K170" t="s">
        <v>291</v>
      </c>
      <c r="L170" t="s">
        <v>1197</v>
      </c>
      <c r="M170" s="45">
        <v>1</v>
      </c>
    </row>
    <row r="171" spans="1:13" x14ac:dyDescent="0.2">
      <c r="A171">
        <v>170</v>
      </c>
      <c r="B171" t="s">
        <v>1189</v>
      </c>
      <c r="C171" t="s">
        <v>291</v>
      </c>
      <c r="D171" s="2" t="s">
        <v>1190</v>
      </c>
      <c r="E171" t="s">
        <v>894</v>
      </c>
      <c r="K171" t="s">
        <v>291</v>
      </c>
      <c r="L171" t="s">
        <v>1199</v>
      </c>
      <c r="M171" s="45">
        <v>1</v>
      </c>
    </row>
    <row r="172" spans="1:13" x14ac:dyDescent="0.2">
      <c r="A172">
        <v>171</v>
      </c>
      <c r="B172" t="s">
        <v>1191</v>
      </c>
      <c r="C172" t="s">
        <v>291</v>
      </c>
      <c r="D172" s="2" t="s">
        <v>1192</v>
      </c>
      <c r="E172" t="s">
        <v>894</v>
      </c>
      <c r="K172" t="s">
        <v>291</v>
      </c>
      <c r="L172" t="s">
        <v>1201</v>
      </c>
      <c r="M172" s="45">
        <v>1</v>
      </c>
    </row>
    <row r="173" spans="1:13" x14ac:dyDescent="0.2">
      <c r="A173">
        <v>172</v>
      </c>
      <c r="B173" t="s">
        <v>1193</v>
      </c>
      <c r="C173" t="s">
        <v>291</v>
      </c>
      <c r="D173" s="2" t="s">
        <v>1194</v>
      </c>
      <c r="E173" t="s">
        <v>894</v>
      </c>
      <c r="K173" t="s">
        <v>291</v>
      </c>
      <c r="L173" t="s">
        <v>1203</v>
      </c>
      <c r="M173" s="45">
        <v>1</v>
      </c>
    </row>
    <row r="174" spans="1:13" x14ac:dyDescent="0.2">
      <c r="A174">
        <v>173</v>
      </c>
      <c r="B174" t="s">
        <v>1195</v>
      </c>
      <c r="C174" t="s">
        <v>291</v>
      </c>
      <c r="D174" s="2" t="s">
        <v>1196</v>
      </c>
      <c r="E174" t="s">
        <v>894</v>
      </c>
      <c r="K174" t="s">
        <v>291</v>
      </c>
      <c r="L174" t="s">
        <v>1205</v>
      </c>
      <c r="M174" s="45">
        <v>1</v>
      </c>
    </row>
    <row r="175" spans="1:13" x14ac:dyDescent="0.2">
      <c r="A175">
        <v>174</v>
      </c>
      <c r="B175" t="s">
        <v>1197</v>
      </c>
      <c r="C175" t="s">
        <v>291</v>
      </c>
      <c r="D175" s="2" t="s">
        <v>1198</v>
      </c>
      <c r="E175" t="s">
        <v>894</v>
      </c>
      <c r="K175" t="s">
        <v>291</v>
      </c>
      <c r="L175" t="s">
        <v>1207</v>
      </c>
      <c r="M175" s="45">
        <v>1</v>
      </c>
    </row>
    <row r="176" spans="1:13" x14ac:dyDescent="0.2">
      <c r="A176">
        <v>175</v>
      </c>
      <c r="B176" t="s">
        <v>1199</v>
      </c>
      <c r="C176" t="s">
        <v>291</v>
      </c>
      <c r="D176" s="2" t="s">
        <v>1200</v>
      </c>
      <c r="E176" t="s">
        <v>894</v>
      </c>
      <c r="K176" t="s">
        <v>291</v>
      </c>
      <c r="L176" t="s">
        <v>1209</v>
      </c>
      <c r="M176" s="45">
        <v>1</v>
      </c>
    </row>
    <row r="177" spans="1:13" x14ac:dyDescent="0.2">
      <c r="A177">
        <v>176</v>
      </c>
      <c r="B177" t="s">
        <v>1201</v>
      </c>
      <c r="C177" t="s">
        <v>291</v>
      </c>
      <c r="D177" s="2" t="s">
        <v>1202</v>
      </c>
      <c r="E177" t="s">
        <v>894</v>
      </c>
      <c r="K177" t="s">
        <v>291</v>
      </c>
      <c r="L177" t="s">
        <v>1211</v>
      </c>
      <c r="M177" s="45">
        <v>1</v>
      </c>
    </row>
    <row r="178" spans="1:13" x14ac:dyDescent="0.2">
      <c r="A178">
        <v>177</v>
      </c>
      <c r="B178" t="s">
        <v>1203</v>
      </c>
      <c r="C178" t="s">
        <v>291</v>
      </c>
      <c r="D178" s="2" t="s">
        <v>1204</v>
      </c>
      <c r="E178" t="s">
        <v>894</v>
      </c>
      <c r="K178" t="s">
        <v>291</v>
      </c>
      <c r="L178" t="s">
        <v>1213</v>
      </c>
      <c r="M178" s="45">
        <v>1</v>
      </c>
    </row>
    <row r="179" spans="1:13" x14ac:dyDescent="0.2">
      <c r="A179">
        <v>178</v>
      </c>
      <c r="B179" t="s">
        <v>1205</v>
      </c>
      <c r="C179" t="s">
        <v>291</v>
      </c>
      <c r="D179" s="2" t="s">
        <v>1206</v>
      </c>
      <c r="E179" t="s">
        <v>894</v>
      </c>
      <c r="K179" t="s">
        <v>504</v>
      </c>
      <c r="L179" t="s">
        <v>1051</v>
      </c>
      <c r="M179" s="45">
        <v>1</v>
      </c>
    </row>
    <row r="180" spans="1:13" x14ac:dyDescent="0.2">
      <c r="A180">
        <v>179</v>
      </c>
      <c r="B180" t="s">
        <v>1207</v>
      </c>
      <c r="C180" t="s">
        <v>291</v>
      </c>
      <c r="D180" s="2" t="s">
        <v>1208</v>
      </c>
      <c r="E180" t="s">
        <v>894</v>
      </c>
      <c r="K180" t="s">
        <v>664</v>
      </c>
      <c r="L180" t="s">
        <v>1006</v>
      </c>
      <c r="M180" s="45">
        <v>1</v>
      </c>
    </row>
    <row r="181" spans="1:13" x14ac:dyDescent="0.2">
      <c r="A181">
        <v>180</v>
      </c>
      <c r="B181" t="s">
        <v>1209</v>
      </c>
      <c r="C181" t="s">
        <v>291</v>
      </c>
      <c r="D181" s="2" t="s">
        <v>1210</v>
      </c>
      <c r="E181" t="s">
        <v>894</v>
      </c>
      <c r="K181" t="s">
        <v>664</v>
      </c>
      <c r="L181" t="s">
        <v>1008</v>
      </c>
      <c r="M181" s="45">
        <v>1</v>
      </c>
    </row>
    <row r="182" spans="1:13" x14ac:dyDescent="0.2">
      <c r="A182">
        <v>181</v>
      </c>
      <c r="B182" t="s">
        <v>1211</v>
      </c>
      <c r="C182" t="s">
        <v>291</v>
      </c>
      <c r="D182" s="2" t="s">
        <v>1212</v>
      </c>
      <c r="E182" t="s">
        <v>894</v>
      </c>
      <c r="K182" t="s">
        <v>664</v>
      </c>
      <c r="L182" t="s">
        <v>1031</v>
      </c>
      <c r="M182" s="45">
        <v>1</v>
      </c>
    </row>
    <row r="183" spans="1:13" x14ac:dyDescent="0.2">
      <c r="A183">
        <v>182</v>
      </c>
      <c r="B183" t="s">
        <v>1213</v>
      </c>
      <c r="C183" t="s">
        <v>291</v>
      </c>
      <c r="D183" s="2" t="s">
        <v>1214</v>
      </c>
      <c r="E183" t="s">
        <v>894</v>
      </c>
      <c r="K183" t="s">
        <v>664</v>
      </c>
      <c r="L183" t="s">
        <v>1042</v>
      </c>
      <c r="M183" s="45">
        <v>1</v>
      </c>
    </row>
    <row r="184" spans="1:13" ht="38.25" x14ac:dyDescent="0.2">
      <c r="A184">
        <v>183</v>
      </c>
      <c r="B184" t="s">
        <v>1215</v>
      </c>
      <c r="D184" s="2" t="s">
        <v>1216</v>
      </c>
      <c r="E184" t="s">
        <v>894</v>
      </c>
      <c r="K184" t="s">
        <v>664</v>
      </c>
      <c r="L184" t="s">
        <v>1270</v>
      </c>
      <c r="M184" s="45">
        <v>1</v>
      </c>
    </row>
    <row r="185" spans="1:13" x14ac:dyDescent="0.2">
      <c r="A185">
        <v>184</v>
      </c>
      <c r="B185" t="s">
        <v>1217</v>
      </c>
      <c r="D185" s="2" t="s">
        <v>1218</v>
      </c>
      <c r="E185" t="s">
        <v>894</v>
      </c>
      <c r="K185" t="s">
        <v>518</v>
      </c>
      <c r="L185" t="s">
        <v>1300</v>
      </c>
      <c r="M185" s="45">
        <v>1</v>
      </c>
    </row>
    <row r="186" spans="1:13" x14ac:dyDescent="0.2">
      <c r="A186">
        <v>185</v>
      </c>
      <c r="B186" t="s">
        <v>1219</v>
      </c>
      <c r="D186" s="2" t="s">
        <v>1220</v>
      </c>
      <c r="E186" t="s">
        <v>894</v>
      </c>
      <c r="K186" t="s">
        <v>325</v>
      </c>
      <c r="L186" t="s">
        <v>1034</v>
      </c>
      <c r="M186" s="45">
        <v>1</v>
      </c>
    </row>
    <row r="187" spans="1:13" x14ac:dyDescent="0.2">
      <c r="A187">
        <v>186</v>
      </c>
      <c r="B187" t="s">
        <v>1221</v>
      </c>
      <c r="D187" s="2" t="s">
        <v>1221</v>
      </c>
      <c r="E187" t="s">
        <v>894</v>
      </c>
      <c r="K187" t="s">
        <v>338</v>
      </c>
      <c r="L187" t="s">
        <v>1337</v>
      </c>
      <c r="M187" s="45">
        <v>1</v>
      </c>
    </row>
    <row r="188" spans="1:13" x14ac:dyDescent="0.2">
      <c r="A188">
        <v>187</v>
      </c>
      <c r="B188" t="s">
        <v>1222</v>
      </c>
      <c r="C188" t="s">
        <v>168</v>
      </c>
      <c r="D188" s="2" t="s">
        <v>1223</v>
      </c>
      <c r="E188" t="s">
        <v>894</v>
      </c>
      <c r="F188" t="s">
        <v>1224</v>
      </c>
      <c r="K188" t="s">
        <v>338</v>
      </c>
      <c r="L188" t="s">
        <v>107</v>
      </c>
      <c r="M188" s="45">
        <v>1</v>
      </c>
    </row>
    <row r="189" spans="1:13" ht="25.5" x14ac:dyDescent="0.2">
      <c r="A189">
        <v>188</v>
      </c>
      <c r="B189" t="s">
        <v>1225</v>
      </c>
      <c r="D189" s="2" t="s">
        <v>1226</v>
      </c>
      <c r="E189" t="s">
        <v>894</v>
      </c>
      <c r="F189" t="s">
        <v>1227</v>
      </c>
      <c r="K189" t="s">
        <v>338</v>
      </c>
      <c r="L189" t="s">
        <v>916</v>
      </c>
      <c r="M189" s="45">
        <v>1</v>
      </c>
    </row>
    <row r="190" spans="1:13" x14ac:dyDescent="0.2">
      <c r="A190">
        <v>189</v>
      </c>
      <c r="B190" t="s">
        <v>573</v>
      </c>
      <c r="D190" s="2" t="s">
        <v>573</v>
      </c>
      <c r="E190" t="s">
        <v>894</v>
      </c>
      <c r="K190" t="s">
        <v>338</v>
      </c>
      <c r="L190" t="s">
        <v>1296</v>
      </c>
      <c r="M190" s="45">
        <v>1</v>
      </c>
    </row>
    <row r="191" spans="1:13" x14ac:dyDescent="0.2">
      <c r="A191">
        <v>190</v>
      </c>
      <c r="B191" t="s">
        <v>1228</v>
      </c>
      <c r="D191" s="2" t="s">
        <v>1228</v>
      </c>
      <c r="E191" t="s">
        <v>894</v>
      </c>
      <c r="K191" t="s">
        <v>338</v>
      </c>
      <c r="L191" t="s">
        <v>1339</v>
      </c>
      <c r="M191" s="45">
        <v>1</v>
      </c>
    </row>
    <row r="192" spans="1:13" x14ac:dyDescent="0.2">
      <c r="A192">
        <v>191</v>
      </c>
      <c r="B192" t="s">
        <v>1229</v>
      </c>
      <c r="D192" s="2" t="s">
        <v>1230</v>
      </c>
      <c r="E192" t="s">
        <v>894</v>
      </c>
      <c r="K192" t="s">
        <v>338</v>
      </c>
      <c r="L192" t="s">
        <v>1322</v>
      </c>
      <c r="M192" s="45">
        <v>1</v>
      </c>
    </row>
    <row r="193" spans="1:13" x14ac:dyDescent="0.2">
      <c r="A193">
        <v>192</v>
      </c>
      <c r="B193" t="s">
        <v>1231</v>
      </c>
      <c r="D193" s="2" t="s">
        <v>1232</v>
      </c>
      <c r="E193" t="s">
        <v>894</v>
      </c>
      <c r="K193" t="s">
        <v>703</v>
      </c>
      <c r="L193" t="s">
        <v>1036</v>
      </c>
      <c r="M193" s="45">
        <v>1</v>
      </c>
    </row>
    <row r="194" spans="1:13" ht="38.25" x14ac:dyDescent="0.2">
      <c r="A194">
        <v>193</v>
      </c>
      <c r="B194" t="s">
        <v>1233</v>
      </c>
      <c r="C194" t="s">
        <v>168</v>
      </c>
      <c r="D194" s="2" t="s">
        <v>1234</v>
      </c>
      <c r="E194" t="s">
        <v>894</v>
      </c>
      <c r="K194" t="s">
        <v>703</v>
      </c>
      <c r="L194" t="s">
        <v>1037</v>
      </c>
      <c r="M194" s="45">
        <v>1</v>
      </c>
    </row>
    <row r="195" spans="1:13" x14ac:dyDescent="0.2">
      <c r="A195">
        <v>194</v>
      </c>
      <c r="B195" t="s">
        <v>1235</v>
      </c>
      <c r="C195" t="s">
        <v>585</v>
      </c>
      <c r="D195" s="2" t="s">
        <v>1236</v>
      </c>
      <c r="E195" t="s">
        <v>894</v>
      </c>
      <c r="K195" t="s">
        <v>703</v>
      </c>
      <c r="L195" t="s">
        <v>1038</v>
      </c>
      <c r="M195" s="45">
        <v>1</v>
      </c>
    </row>
    <row r="196" spans="1:13" ht="38.25" x14ac:dyDescent="0.2">
      <c r="A196">
        <v>195</v>
      </c>
      <c r="B196" t="s">
        <v>1237</v>
      </c>
      <c r="C196" t="s">
        <v>585</v>
      </c>
      <c r="D196" s="2" t="s">
        <v>1238</v>
      </c>
      <c r="E196" t="s">
        <v>894</v>
      </c>
      <c r="K196" t="s">
        <v>18</v>
      </c>
      <c r="L196" t="s">
        <v>18</v>
      </c>
      <c r="M196" s="45">
        <v>1</v>
      </c>
    </row>
    <row r="197" spans="1:13" x14ac:dyDescent="0.2">
      <c r="A197">
        <v>196</v>
      </c>
      <c r="B197" t="s">
        <v>1239</v>
      </c>
      <c r="C197" t="s">
        <v>585</v>
      </c>
      <c r="D197" s="2" t="s">
        <v>1240</v>
      </c>
      <c r="E197" t="s">
        <v>894</v>
      </c>
      <c r="K197" t="s">
        <v>18</v>
      </c>
      <c r="L197" t="s">
        <v>1287</v>
      </c>
      <c r="M197" s="45">
        <v>1</v>
      </c>
    </row>
    <row r="198" spans="1:13" x14ac:dyDescent="0.2">
      <c r="A198">
        <v>197</v>
      </c>
      <c r="B198" t="s">
        <v>1241</v>
      </c>
      <c r="C198" t="s">
        <v>267</v>
      </c>
      <c r="D198" s="2" t="s">
        <v>1241</v>
      </c>
      <c r="E198" t="s">
        <v>894</v>
      </c>
      <c r="K198" t="s">
        <v>18</v>
      </c>
      <c r="L198" t="s">
        <v>1289</v>
      </c>
      <c r="M198" s="45">
        <v>1</v>
      </c>
    </row>
    <row r="199" spans="1:13" ht="25.5" x14ac:dyDescent="0.2">
      <c r="A199">
        <v>198</v>
      </c>
      <c r="B199" t="s">
        <v>1242</v>
      </c>
      <c r="C199" t="s">
        <v>267</v>
      </c>
      <c r="D199" s="2" t="s">
        <v>1243</v>
      </c>
      <c r="E199" t="s">
        <v>894</v>
      </c>
      <c r="K199" t="s">
        <v>373</v>
      </c>
      <c r="L199" t="s">
        <v>1282</v>
      </c>
      <c r="M199" s="45">
        <v>1</v>
      </c>
    </row>
    <row r="200" spans="1:13" x14ac:dyDescent="0.2">
      <c r="A200">
        <v>199</v>
      </c>
      <c r="B200" t="s">
        <v>1244</v>
      </c>
      <c r="C200" t="s">
        <v>585</v>
      </c>
      <c r="D200" s="2" t="s">
        <v>1245</v>
      </c>
      <c r="E200" t="s">
        <v>894</v>
      </c>
      <c r="K200" t="s">
        <v>632</v>
      </c>
      <c r="L200" t="s">
        <v>632</v>
      </c>
      <c r="M200" s="45">
        <v>1</v>
      </c>
    </row>
    <row r="201" spans="1:13" x14ac:dyDescent="0.2">
      <c r="A201">
        <v>200</v>
      </c>
      <c r="B201" t="s">
        <v>1246</v>
      </c>
      <c r="C201" t="s">
        <v>585</v>
      </c>
      <c r="D201" s="2" t="s">
        <v>1246</v>
      </c>
      <c r="E201" t="s">
        <v>894</v>
      </c>
      <c r="K201" t="s">
        <v>393</v>
      </c>
      <c r="L201" t="s">
        <v>1048</v>
      </c>
      <c r="M201" s="45">
        <v>1</v>
      </c>
    </row>
    <row r="202" spans="1:13" x14ac:dyDescent="0.2">
      <c r="A202">
        <v>201</v>
      </c>
      <c r="B202" t="s">
        <v>1247</v>
      </c>
      <c r="C202" t="s">
        <v>585</v>
      </c>
      <c r="D202" s="2" t="s">
        <v>1247</v>
      </c>
      <c r="E202" t="s">
        <v>894</v>
      </c>
      <c r="K202" t="s">
        <v>418</v>
      </c>
      <c r="L202" t="s">
        <v>418</v>
      </c>
      <c r="M202" s="45">
        <v>1</v>
      </c>
    </row>
    <row r="203" spans="1:13" x14ac:dyDescent="0.2">
      <c r="A203">
        <v>202</v>
      </c>
      <c r="B203" t="s">
        <v>1248</v>
      </c>
      <c r="C203" t="s">
        <v>585</v>
      </c>
      <c r="D203" s="2" t="s">
        <v>1248</v>
      </c>
      <c r="E203" t="s">
        <v>894</v>
      </c>
      <c r="K203" t="s">
        <v>1394</v>
      </c>
      <c r="L203" t="s">
        <v>901</v>
      </c>
      <c r="M203" s="45"/>
    </row>
    <row r="204" spans="1:13" x14ac:dyDescent="0.2">
      <c r="A204">
        <v>203</v>
      </c>
      <c r="B204" t="s">
        <v>1249</v>
      </c>
      <c r="C204" t="s">
        <v>585</v>
      </c>
      <c r="D204" s="2" t="s">
        <v>1250</v>
      </c>
      <c r="E204" t="s">
        <v>894</v>
      </c>
      <c r="K204" t="s">
        <v>1394</v>
      </c>
      <c r="L204" t="s">
        <v>917</v>
      </c>
      <c r="M204" s="45"/>
    </row>
    <row r="205" spans="1:13" x14ac:dyDescent="0.2">
      <c r="A205">
        <v>204</v>
      </c>
      <c r="B205" t="s">
        <v>1251</v>
      </c>
      <c r="C205" t="s">
        <v>585</v>
      </c>
      <c r="D205" s="2" t="s">
        <v>1252</v>
      </c>
      <c r="E205" t="s">
        <v>894</v>
      </c>
      <c r="K205" t="s">
        <v>1394</v>
      </c>
      <c r="L205" t="s">
        <v>919</v>
      </c>
      <c r="M205" s="45"/>
    </row>
    <row r="206" spans="1:13" x14ac:dyDescent="0.2">
      <c r="A206">
        <v>205</v>
      </c>
      <c r="B206" t="s">
        <v>1253</v>
      </c>
      <c r="C206" t="s">
        <v>585</v>
      </c>
      <c r="D206" s="2" t="s">
        <v>1254</v>
      </c>
      <c r="E206" t="s">
        <v>894</v>
      </c>
      <c r="K206" t="s">
        <v>1394</v>
      </c>
      <c r="L206" t="s">
        <v>921</v>
      </c>
      <c r="M206" s="45"/>
    </row>
    <row r="207" spans="1:13" x14ac:dyDescent="0.2">
      <c r="A207">
        <v>206</v>
      </c>
      <c r="B207" t="s">
        <v>1255</v>
      </c>
      <c r="C207" t="s">
        <v>585</v>
      </c>
      <c r="D207" s="2" t="s">
        <v>1256</v>
      </c>
      <c r="E207" t="s">
        <v>894</v>
      </c>
      <c r="K207" t="s">
        <v>1394</v>
      </c>
      <c r="L207" t="s">
        <v>923</v>
      </c>
      <c r="M207" s="45"/>
    </row>
    <row r="208" spans="1:13" x14ac:dyDescent="0.2">
      <c r="A208">
        <v>207</v>
      </c>
      <c r="B208" t="s">
        <v>1257</v>
      </c>
      <c r="C208" t="s">
        <v>585</v>
      </c>
      <c r="D208" s="2" t="s">
        <v>1258</v>
      </c>
      <c r="E208" t="s">
        <v>894</v>
      </c>
      <c r="K208" t="s">
        <v>1394</v>
      </c>
      <c r="L208" t="s">
        <v>925</v>
      </c>
      <c r="M208" s="45"/>
    </row>
    <row r="209" spans="1:13" x14ac:dyDescent="0.2">
      <c r="A209">
        <v>208</v>
      </c>
      <c r="B209" t="s">
        <v>1259</v>
      </c>
      <c r="C209" t="s">
        <v>585</v>
      </c>
      <c r="D209" s="2" t="s">
        <v>1260</v>
      </c>
      <c r="E209" t="s">
        <v>894</v>
      </c>
      <c r="K209" t="s">
        <v>1394</v>
      </c>
      <c r="L209" t="s">
        <v>927</v>
      </c>
      <c r="M209" s="45"/>
    </row>
    <row r="210" spans="1:13" x14ac:dyDescent="0.2">
      <c r="A210">
        <v>209</v>
      </c>
      <c r="B210" t="s">
        <v>1261</v>
      </c>
      <c r="C210" t="s">
        <v>585</v>
      </c>
      <c r="D210" s="2" t="s">
        <v>1262</v>
      </c>
      <c r="E210" t="s">
        <v>894</v>
      </c>
      <c r="K210" t="s">
        <v>1394</v>
      </c>
      <c r="L210" t="s">
        <v>929</v>
      </c>
      <c r="M210" s="45"/>
    </row>
    <row r="211" spans="1:13" x14ac:dyDescent="0.2">
      <c r="A211">
        <v>210</v>
      </c>
      <c r="B211" t="s">
        <v>1263</v>
      </c>
      <c r="C211" t="s">
        <v>585</v>
      </c>
      <c r="D211" s="2" t="s">
        <v>1264</v>
      </c>
      <c r="E211" t="s">
        <v>894</v>
      </c>
      <c r="K211" t="s">
        <v>1394</v>
      </c>
      <c r="L211" t="s">
        <v>931</v>
      </c>
      <c r="M211" s="45"/>
    </row>
    <row r="212" spans="1:13" x14ac:dyDescent="0.2">
      <c r="A212">
        <v>211</v>
      </c>
      <c r="B212" t="s">
        <v>1265</v>
      </c>
      <c r="C212" t="s">
        <v>585</v>
      </c>
      <c r="D212" s="2" t="s">
        <v>1266</v>
      </c>
      <c r="E212" t="s">
        <v>894</v>
      </c>
      <c r="K212" t="s">
        <v>1394</v>
      </c>
      <c r="L212" t="s">
        <v>933</v>
      </c>
      <c r="M212" s="45"/>
    </row>
    <row r="213" spans="1:13" x14ac:dyDescent="0.2">
      <c r="A213">
        <v>212</v>
      </c>
      <c r="B213" t="s">
        <v>1267</v>
      </c>
      <c r="C213" t="s">
        <v>570</v>
      </c>
      <c r="D213" s="2" t="s">
        <v>1267</v>
      </c>
      <c r="E213" t="s">
        <v>894</v>
      </c>
      <c r="K213" t="s">
        <v>1394</v>
      </c>
      <c r="L213" t="s">
        <v>935</v>
      </c>
      <c r="M213" s="45"/>
    </row>
    <row r="214" spans="1:13" x14ac:dyDescent="0.2">
      <c r="A214">
        <v>213</v>
      </c>
      <c r="B214" t="s">
        <v>1268</v>
      </c>
      <c r="C214" t="s">
        <v>239</v>
      </c>
      <c r="D214" s="2" t="s">
        <v>1269</v>
      </c>
      <c r="E214" t="s">
        <v>894</v>
      </c>
      <c r="K214" t="s">
        <v>1394</v>
      </c>
      <c r="L214" t="s">
        <v>937</v>
      </c>
      <c r="M214" s="45"/>
    </row>
    <row r="215" spans="1:13" x14ac:dyDescent="0.2">
      <c r="A215">
        <v>214</v>
      </c>
      <c r="B215" t="s">
        <v>1270</v>
      </c>
      <c r="C215" t="s">
        <v>664</v>
      </c>
      <c r="D215" s="2" t="s">
        <v>1271</v>
      </c>
      <c r="E215" t="s">
        <v>894</v>
      </c>
      <c r="K215" t="s">
        <v>1394</v>
      </c>
      <c r="L215" t="s">
        <v>942</v>
      </c>
      <c r="M215" s="45"/>
    </row>
    <row r="216" spans="1:13" x14ac:dyDescent="0.2">
      <c r="A216">
        <v>215</v>
      </c>
      <c r="B216" t="s">
        <v>1272</v>
      </c>
      <c r="C216" t="s">
        <v>585</v>
      </c>
      <c r="D216" s="2" t="s">
        <v>1273</v>
      </c>
      <c r="E216" t="s">
        <v>894</v>
      </c>
      <c r="K216" t="s">
        <v>1394</v>
      </c>
      <c r="L216" t="s">
        <v>944</v>
      </c>
      <c r="M216" s="45"/>
    </row>
    <row r="217" spans="1:13" x14ac:dyDescent="0.2">
      <c r="A217">
        <v>216</v>
      </c>
      <c r="B217" t="s">
        <v>1274</v>
      </c>
      <c r="C217" t="s">
        <v>585</v>
      </c>
      <c r="D217" s="2" t="s">
        <v>1275</v>
      </c>
      <c r="E217" t="s">
        <v>894</v>
      </c>
      <c r="K217" t="s">
        <v>1394</v>
      </c>
      <c r="L217" t="s">
        <v>953</v>
      </c>
      <c r="M217" s="45"/>
    </row>
    <row r="218" spans="1:13" x14ac:dyDescent="0.2">
      <c r="A218">
        <v>217</v>
      </c>
      <c r="B218" t="s">
        <v>1276</v>
      </c>
      <c r="C218" t="s">
        <v>585</v>
      </c>
      <c r="D218" s="2" t="s">
        <v>1277</v>
      </c>
      <c r="E218" t="s">
        <v>894</v>
      </c>
      <c r="K218" t="s">
        <v>1394</v>
      </c>
      <c r="L218" t="s">
        <v>955</v>
      </c>
      <c r="M218" s="45"/>
    </row>
    <row r="219" spans="1:13" x14ac:dyDescent="0.2">
      <c r="A219">
        <v>218</v>
      </c>
      <c r="B219" t="s">
        <v>1278</v>
      </c>
      <c r="C219" t="s">
        <v>585</v>
      </c>
      <c r="D219" s="2" t="s">
        <v>1279</v>
      </c>
      <c r="E219" t="s">
        <v>894</v>
      </c>
      <c r="K219" t="s">
        <v>1394</v>
      </c>
      <c r="L219" t="s">
        <v>959</v>
      </c>
      <c r="M219" s="45"/>
    </row>
    <row r="220" spans="1:13" x14ac:dyDescent="0.2">
      <c r="A220">
        <v>219</v>
      </c>
      <c r="B220" t="s">
        <v>1280</v>
      </c>
      <c r="C220" t="s">
        <v>585</v>
      </c>
      <c r="D220" s="2" t="s">
        <v>1281</v>
      </c>
      <c r="E220" t="s">
        <v>894</v>
      </c>
      <c r="K220" t="s">
        <v>1394</v>
      </c>
      <c r="L220" t="s">
        <v>996</v>
      </c>
      <c r="M220" s="45"/>
    </row>
    <row r="221" spans="1:13" x14ac:dyDescent="0.2">
      <c r="A221">
        <v>220</v>
      </c>
      <c r="B221" t="s">
        <v>1282</v>
      </c>
      <c r="C221" t="s">
        <v>373</v>
      </c>
      <c r="D221" s="2" t="s">
        <v>1282</v>
      </c>
      <c r="E221" t="s">
        <v>894</v>
      </c>
      <c r="K221" t="s">
        <v>1394</v>
      </c>
      <c r="L221" t="s">
        <v>1004</v>
      </c>
      <c r="M221" s="45"/>
    </row>
    <row r="222" spans="1:13" x14ac:dyDescent="0.2">
      <c r="A222">
        <v>221</v>
      </c>
      <c r="B222" t="s">
        <v>1283</v>
      </c>
      <c r="C222" t="s">
        <v>168</v>
      </c>
      <c r="D222" s="2" t="s">
        <v>1284</v>
      </c>
      <c r="E222" t="s">
        <v>894</v>
      </c>
      <c r="K222" t="s">
        <v>1394</v>
      </c>
      <c r="L222" t="s">
        <v>1040</v>
      </c>
      <c r="M222" s="45"/>
    </row>
    <row r="223" spans="1:13" x14ac:dyDescent="0.2">
      <c r="A223">
        <v>222</v>
      </c>
      <c r="B223" t="s">
        <v>1285</v>
      </c>
      <c r="D223" s="2" t="s">
        <v>1286</v>
      </c>
      <c r="E223" t="s">
        <v>894</v>
      </c>
      <c r="K223" t="s">
        <v>1394</v>
      </c>
      <c r="L223" t="s">
        <v>1063</v>
      </c>
      <c r="M223" s="45"/>
    </row>
    <row r="224" spans="1:13" x14ac:dyDescent="0.2">
      <c r="A224">
        <v>223</v>
      </c>
      <c r="B224" t="s">
        <v>18</v>
      </c>
      <c r="C224" t="s">
        <v>18</v>
      </c>
      <c r="D224" s="2" t="s">
        <v>18</v>
      </c>
      <c r="E224" t="s">
        <v>894</v>
      </c>
      <c r="K224" t="s">
        <v>1394</v>
      </c>
      <c r="L224" t="s">
        <v>1079</v>
      </c>
      <c r="M224" s="45"/>
    </row>
    <row r="225" spans="1:13" x14ac:dyDescent="0.2">
      <c r="A225">
        <v>224</v>
      </c>
      <c r="B225" t="s">
        <v>1287</v>
      </c>
      <c r="C225" t="s">
        <v>18</v>
      </c>
      <c r="D225" s="2" t="s">
        <v>1288</v>
      </c>
      <c r="E225" t="s">
        <v>894</v>
      </c>
      <c r="K225" t="s">
        <v>1394</v>
      </c>
      <c r="L225" t="s">
        <v>1081</v>
      </c>
      <c r="M225" s="45"/>
    </row>
    <row r="226" spans="1:13" x14ac:dyDescent="0.2">
      <c r="A226">
        <v>225</v>
      </c>
      <c r="B226" t="s">
        <v>1289</v>
      </c>
      <c r="C226" t="s">
        <v>18</v>
      </c>
      <c r="D226" s="2" t="s">
        <v>1290</v>
      </c>
      <c r="E226" t="s">
        <v>894</v>
      </c>
      <c r="K226" t="s">
        <v>1394</v>
      </c>
      <c r="L226" t="s">
        <v>1088</v>
      </c>
      <c r="M226" s="45"/>
    </row>
    <row r="227" spans="1:13" x14ac:dyDescent="0.2">
      <c r="A227">
        <v>226</v>
      </c>
      <c r="B227" t="s">
        <v>1291</v>
      </c>
      <c r="D227" s="2" t="s">
        <v>1291</v>
      </c>
      <c r="E227" t="s">
        <v>894</v>
      </c>
      <c r="K227" t="s">
        <v>1394</v>
      </c>
      <c r="L227" t="s">
        <v>1151</v>
      </c>
      <c r="M227" s="45"/>
    </row>
    <row r="228" spans="1:13" x14ac:dyDescent="0.2">
      <c r="A228">
        <v>227</v>
      </c>
      <c r="B228" t="s">
        <v>1292</v>
      </c>
      <c r="D228" s="2" t="s">
        <v>1293</v>
      </c>
      <c r="E228" t="s">
        <v>894</v>
      </c>
      <c r="K228" t="s">
        <v>1394</v>
      </c>
      <c r="L228" t="s">
        <v>1153</v>
      </c>
      <c r="M228" s="45"/>
    </row>
    <row r="229" spans="1:13" x14ac:dyDescent="0.2">
      <c r="A229">
        <v>228</v>
      </c>
      <c r="B229" t="s">
        <v>632</v>
      </c>
      <c r="C229" t="s">
        <v>632</v>
      </c>
      <c r="D229" s="2" t="s">
        <v>632</v>
      </c>
      <c r="E229" t="s">
        <v>894</v>
      </c>
      <c r="K229" t="s">
        <v>1394</v>
      </c>
      <c r="L229" t="s">
        <v>1176</v>
      </c>
      <c r="M229" s="45"/>
    </row>
    <row r="230" spans="1:13" x14ac:dyDescent="0.2">
      <c r="A230">
        <v>229</v>
      </c>
      <c r="B230" t="s">
        <v>1294</v>
      </c>
      <c r="D230" s="2" t="s">
        <v>1295</v>
      </c>
      <c r="E230" t="s">
        <v>894</v>
      </c>
      <c r="K230" t="s">
        <v>1394</v>
      </c>
      <c r="L230" t="s">
        <v>1178</v>
      </c>
      <c r="M230" s="45"/>
    </row>
    <row r="231" spans="1:13" ht="25.5" x14ac:dyDescent="0.2">
      <c r="A231">
        <v>230</v>
      </c>
      <c r="B231" t="s">
        <v>1296</v>
      </c>
      <c r="C231" t="s">
        <v>338</v>
      </c>
      <c r="D231" s="2" t="s">
        <v>1297</v>
      </c>
      <c r="E231" t="s">
        <v>894</v>
      </c>
      <c r="K231" t="s">
        <v>1394</v>
      </c>
      <c r="L231" t="s">
        <v>557</v>
      </c>
      <c r="M231" s="45"/>
    </row>
    <row r="232" spans="1:13" x14ac:dyDescent="0.2">
      <c r="A232">
        <v>231</v>
      </c>
      <c r="B232" t="s">
        <v>393</v>
      </c>
      <c r="D232" s="2" t="s">
        <v>1298</v>
      </c>
      <c r="E232" t="s">
        <v>894</v>
      </c>
      <c r="K232" t="s">
        <v>1394</v>
      </c>
      <c r="L232" t="s">
        <v>1183</v>
      </c>
      <c r="M232" s="45"/>
    </row>
    <row r="233" spans="1:13" ht="25.5" x14ac:dyDescent="0.2">
      <c r="A233">
        <v>232</v>
      </c>
      <c r="B233" t="s">
        <v>1339</v>
      </c>
      <c r="C233" t="s">
        <v>338</v>
      </c>
      <c r="D233" s="2" t="s">
        <v>1345</v>
      </c>
      <c r="K233" t="s">
        <v>1394</v>
      </c>
      <c r="L233" t="s">
        <v>1185</v>
      </c>
      <c r="M233" s="45"/>
    </row>
    <row r="234" spans="1:13" x14ac:dyDescent="0.2">
      <c r="A234">
        <v>233</v>
      </c>
      <c r="B234" t="s">
        <v>1299</v>
      </c>
      <c r="D234" s="2" t="s">
        <v>1299</v>
      </c>
      <c r="E234" t="s">
        <v>894</v>
      </c>
      <c r="K234" t="s">
        <v>1394</v>
      </c>
      <c r="L234" t="s">
        <v>1215</v>
      </c>
      <c r="M234" s="45"/>
    </row>
    <row r="235" spans="1:13" x14ac:dyDescent="0.2">
      <c r="A235">
        <v>234</v>
      </c>
      <c r="B235" t="s">
        <v>1300</v>
      </c>
      <c r="C235" t="s">
        <v>518</v>
      </c>
      <c r="D235" s="2" t="s">
        <v>1301</v>
      </c>
      <c r="E235" t="s">
        <v>894</v>
      </c>
      <c r="K235" t="s">
        <v>1394</v>
      </c>
      <c r="L235" t="s">
        <v>1217</v>
      </c>
      <c r="M235" s="45"/>
    </row>
    <row r="236" spans="1:13" x14ac:dyDescent="0.2">
      <c r="A236">
        <v>235</v>
      </c>
      <c r="B236" t="s">
        <v>418</v>
      </c>
      <c r="C236" s="60" t="s">
        <v>418</v>
      </c>
      <c r="D236" s="2" t="s">
        <v>1302</v>
      </c>
      <c r="E236" t="s">
        <v>894</v>
      </c>
      <c r="K236" t="s">
        <v>1394</v>
      </c>
      <c r="L236" t="s">
        <v>1219</v>
      </c>
      <c r="M236" s="45"/>
    </row>
    <row r="237" spans="1:13" x14ac:dyDescent="0.2">
      <c r="A237">
        <v>236</v>
      </c>
      <c r="B237" t="s">
        <v>1303</v>
      </c>
      <c r="D237" s="2" t="s">
        <v>1304</v>
      </c>
      <c r="E237" t="s">
        <v>894</v>
      </c>
      <c r="K237" t="s">
        <v>1394</v>
      </c>
      <c r="L237" t="s">
        <v>1221</v>
      </c>
      <c r="M237" s="45"/>
    </row>
    <row r="238" spans="1:13" x14ac:dyDescent="0.2">
      <c r="A238">
        <v>237</v>
      </c>
      <c r="B238" t="s">
        <v>1305</v>
      </c>
      <c r="C238" t="s">
        <v>168</v>
      </c>
      <c r="D238" s="2" t="s">
        <v>1306</v>
      </c>
      <c r="E238" t="s">
        <v>894</v>
      </c>
      <c r="K238" t="s">
        <v>1394</v>
      </c>
      <c r="L238" t="s">
        <v>1225</v>
      </c>
      <c r="M238" s="45"/>
    </row>
    <row r="239" spans="1:13" ht="25.5" x14ac:dyDescent="0.2">
      <c r="A239">
        <v>238</v>
      </c>
      <c r="B239" t="s">
        <v>1307</v>
      </c>
      <c r="C239" s="60" t="s">
        <v>267</v>
      </c>
      <c r="D239" s="2" t="s">
        <v>1308</v>
      </c>
      <c r="E239" t="s">
        <v>894</v>
      </c>
      <c r="K239" t="s">
        <v>1394</v>
      </c>
      <c r="L239" t="s">
        <v>573</v>
      </c>
      <c r="M239" s="45"/>
    </row>
    <row r="240" spans="1:13" ht="25.5" x14ac:dyDescent="0.2">
      <c r="A240">
        <v>239</v>
      </c>
      <c r="B240" t="s">
        <v>1309</v>
      </c>
      <c r="C240" s="60" t="s">
        <v>267</v>
      </c>
      <c r="D240" s="2" t="s">
        <v>1310</v>
      </c>
      <c r="E240" t="s">
        <v>894</v>
      </c>
      <c r="K240" t="s">
        <v>1394</v>
      </c>
      <c r="L240" t="s">
        <v>1228</v>
      </c>
      <c r="M240" s="45"/>
    </row>
    <row r="241" spans="1:13" x14ac:dyDescent="0.2">
      <c r="A241">
        <v>240</v>
      </c>
      <c r="B241" t="s">
        <v>1311</v>
      </c>
      <c r="D241" s="2" t="s">
        <v>1312</v>
      </c>
      <c r="E241" t="s">
        <v>894</v>
      </c>
      <c r="K241" t="s">
        <v>1394</v>
      </c>
      <c r="L241" t="s">
        <v>1229</v>
      </c>
      <c r="M241" s="45"/>
    </row>
    <row r="242" spans="1:13" ht="25.5" x14ac:dyDescent="0.2">
      <c r="A242">
        <v>241</v>
      </c>
      <c r="B242" t="s">
        <v>1313</v>
      </c>
      <c r="C242" s="60" t="s">
        <v>267</v>
      </c>
      <c r="D242" s="2" t="s">
        <v>1314</v>
      </c>
      <c r="E242" t="s">
        <v>894</v>
      </c>
      <c r="K242" t="s">
        <v>1394</v>
      </c>
      <c r="L242" t="s">
        <v>1231</v>
      </c>
      <c r="M242" s="45"/>
    </row>
    <row r="243" spans="1:13" ht="38.25" x14ac:dyDescent="0.2">
      <c r="A243">
        <v>242</v>
      </c>
      <c r="B243" t="s">
        <v>1315</v>
      </c>
      <c r="D243" s="2" t="s">
        <v>1316</v>
      </c>
      <c r="E243" t="s">
        <v>894</v>
      </c>
      <c r="K243" t="s">
        <v>1394</v>
      </c>
      <c r="L243" t="s">
        <v>1285</v>
      </c>
      <c r="M243" s="45"/>
    </row>
    <row r="244" spans="1:13" x14ac:dyDescent="0.2">
      <c r="A244">
        <v>243</v>
      </c>
      <c r="B244" t="s">
        <v>1317</v>
      </c>
      <c r="D244" s="2" t="s">
        <v>1317</v>
      </c>
      <c r="E244" t="s">
        <v>894</v>
      </c>
      <c r="F244" t="s">
        <v>1318</v>
      </c>
      <c r="K244" t="s">
        <v>1394</v>
      </c>
      <c r="L244" t="s">
        <v>1291</v>
      </c>
      <c r="M244" s="45"/>
    </row>
    <row r="245" spans="1:13" x14ac:dyDescent="0.2">
      <c r="A245">
        <v>244</v>
      </c>
      <c r="B245" t="s">
        <v>1319</v>
      </c>
      <c r="D245" s="2" t="s">
        <v>1319</v>
      </c>
      <c r="E245" t="s">
        <v>894</v>
      </c>
      <c r="K245" t="s">
        <v>1394</v>
      </c>
      <c r="L245" t="s">
        <v>1292</v>
      </c>
      <c r="M245" s="45"/>
    </row>
    <row r="246" spans="1:13" x14ac:dyDescent="0.2">
      <c r="A246">
        <v>245</v>
      </c>
      <c r="B246" t="s">
        <v>1320</v>
      </c>
      <c r="C246" t="s">
        <v>239</v>
      </c>
      <c r="D246" s="2" t="s">
        <v>1321</v>
      </c>
      <c r="E246" t="s">
        <v>894</v>
      </c>
      <c r="K246" t="s">
        <v>1394</v>
      </c>
      <c r="L246" t="s">
        <v>1294</v>
      </c>
      <c r="M246" s="45"/>
    </row>
    <row r="247" spans="1:13" ht="25.5" x14ac:dyDescent="0.2">
      <c r="A247">
        <v>246</v>
      </c>
      <c r="B247" t="s">
        <v>1322</v>
      </c>
      <c r="C247" t="s">
        <v>338</v>
      </c>
      <c r="D247" s="2" t="s">
        <v>1323</v>
      </c>
      <c r="E247" t="s">
        <v>894</v>
      </c>
      <c r="K247" t="s">
        <v>1394</v>
      </c>
      <c r="L247" t="s">
        <v>393</v>
      </c>
      <c r="M247" s="45"/>
    </row>
    <row r="248" spans="1:13" x14ac:dyDescent="0.2">
      <c r="A248">
        <v>247</v>
      </c>
      <c r="B248" t="s">
        <v>1324</v>
      </c>
      <c r="C248" t="s">
        <v>171</v>
      </c>
      <c r="D248" s="2" t="s">
        <v>1324</v>
      </c>
      <c r="E248" t="s">
        <v>894</v>
      </c>
      <c r="K248" t="s">
        <v>1394</v>
      </c>
      <c r="L248" t="s">
        <v>1299</v>
      </c>
      <c r="M248" s="45"/>
    </row>
    <row r="249" spans="1:13" x14ac:dyDescent="0.2">
      <c r="A249">
        <v>248</v>
      </c>
      <c r="B249" t="s">
        <v>1325</v>
      </c>
      <c r="D249" s="2" t="s">
        <v>1326</v>
      </c>
      <c r="E249" t="s">
        <v>894</v>
      </c>
      <c r="F249" t="s">
        <v>1327</v>
      </c>
      <c r="K249" t="s">
        <v>1394</v>
      </c>
      <c r="L249" t="s">
        <v>1303</v>
      </c>
      <c r="M249" s="45"/>
    </row>
    <row r="250" spans="1:13" x14ac:dyDescent="0.2">
      <c r="A250">
        <v>249</v>
      </c>
      <c r="B250" t="s">
        <v>1328</v>
      </c>
      <c r="D250" s="2" t="s">
        <v>1328</v>
      </c>
      <c r="E250" t="s">
        <v>894</v>
      </c>
      <c r="K250" t="s">
        <v>1394</v>
      </c>
      <c r="L250" t="s">
        <v>1311</v>
      </c>
      <c r="M250" s="45"/>
    </row>
    <row r="251" spans="1:13" x14ac:dyDescent="0.2">
      <c r="A251">
        <v>250</v>
      </c>
      <c r="B251" t="s">
        <v>1329</v>
      </c>
      <c r="C251" s="60" t="s">
        <v>585</v>
      </c>
      <c r="D251" s="2" t="s">
        <v>1330</v>
      </c>
      <c r="E251" t="s">
        <v>894</v>
      </c>
      <c r="K251" t="s">
        <v>1394</v>
      </c>
      <c r="L251" t="s">
        <v>1315</v>
      </c>
      <c r="M251" s="45"/>
    </row>
    <row r="252" spans="1:13" x14ac:dyDescent="0.2">
      <c r="A252">
        <v>251</v>
      </c>
      <c r="B252" t="s">
        <v>1331</v>
      </c>
      <c r="C252" s="60" t="s">
        <v>585</v>
      </c>
      <c r="D252" s="2" t="s">
        <v>1332</v>
      </c>
      <c r="E252" t="s">
        <v>894</v>
      </c>
      <c r="K252" t="s">
        <v>1394</v>
      </c>
      <c r="L252" t="s">
        <v>1317</v>
      </c>
      <c r="M252" s="45"/>
    </row>
    <row r="253" spans="1:13" x14ac:dyDescent="0.2">
      <c r="A253">
        <v>252</v>
      </c>
      <c r="B253" s="60" t="s">
        <v>1442</v>
      </c>
      <c r="C253" s="60" t="s">
        <v>1442</v>
      </c>
      <c r="D253" s="60" t="s">
        <v>1442</v>
      </c>
      <c r="E253" t="s">
        <v>894</v>
      </c>
      <c r="F253" s="60"/>
      <c r="K253" t="s">
        <v>1394</v>
      </c>
      <c r="L253" t="s">
        <v>1319</v>
      </c>
      <c r="M253" s="45"/>
    </row>
    <row r="254" spans="1:13" x14ac:dyDescent="0.2">
      <c r="A254">
        <v>253</v>
      </c>
      <c r="B254" s="60" t="s">
        <v>1439</v>
      </c>
      <c r="C254" s="60" t="s">
        <v>168</v>
      </c>
      <c r="D254" s="2" t="s">
        <v>1444</v>
      </c>
      <c r="E254" t="s">
        <v>894</v>
      </c>
      <c r="K254" t="s">
        <v>1394</v>
      </c>
      <c r="L254" t="s">
        <v>1325</v>
      </c>
      <c r="M254" s="45"/>
    </row>
    <row r="255" spans="1:13" x14ac:dyDescent="0.2">
      <c r="B255" s="7"/>
      <c r="C255" s="7"/>
      <c r="D255" s="83"/>
      <c r="K255" t="s">
        <v>1394</v>
      </c>
      <c r="L255" t="s">
        <v>1328</v>
      </c>
      <c r="M255" s="45"/>
    </row>
    <row r="256" spans="1:13" x14ac:dyDescent="0.2">
      <c r="K256" t="s">
        <v>1394</v>
      </c>
      <c r="L256" t="s">
        <v>1394</v>
      </c>
      <c r="M256" s="45"/>
    </row>
  </sheetData>
  <pageMargins left="0.7" right="0.7" top="0.75" bottom="0.75" header="0.3" footer="0.3"/>
  <pageSetup scale="90" orientation="landscape" horizontalDpi="4294967292" verticalDpi="42949672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activeCell="C9" sqref="C9"/>
    </sheetView>
  </sheetViews>
  <sheetFormatPr defaultRowHeight="12.75" x14ac:dyDescent="0.2"/>
  <cols>
    <col min="1" max="1" width="11.42578125" bestFit="1" customWidth="1"/>
    <col min="2" max="2" width="8.5703125" bestFit="1" customWidth="1"/>
    <col min="3" max="3" width="9.42578125" bestFit="1" customWidth="1"/>
    <col min="4" max="4" width="13.7109375" bestFit="1" customWidth="1"/>
    <col min="5" max="5" width="8.28515625" bestFit="1" customWidth="1"/>
    <col min="6" max="6" width="17.85546875" bestFit="1" customWidth="1"/>
    <col min="7" max="8" width="14" bestFit="1" customWidth="1"/>
    <col min="9" max="9" width="19" bestFit="1" customWidth="1"/>
  </cols>
  <sheetData>
    <row r="1" spans="1:9" x14ac:dyDescent="0.2">
      <c r="A1" s="7" t="s">
        <v>1740</v>
      </c>
      <c r="B1" s="7" t="s">
        <v>1735</v>
      </c>
      <c r="C1" s="7" t="s">
        <v>114</v>
      </c>
      <c r="D1" s="7" t="s">
        <v>1693</v>
      </c>
      <c r="E1" s="7" t="s">
        <v>1694</v>
      </c>
      <c r="F1" s="7" t="s">
        <v>1695</v>
      </c>
      <c r="G1" s="7" t="s">
        <v>1741</v>
      </c>
      <c r="H1" s="7" t="s">
        <v>1742</v>
      </c>
      <c r="I1" s="7" t="s">
        <v>1696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9"/>
  <sheetViews>
    <sheetView workbookViewId="0">
      <pane xSplit="1" ySplit="1" topLeftCell="B17" activePane="bottomRight" state="frozen"/>
      <selection pane="topRight" activeCell="B1" sqref="B1"/>
      <selection pane="bottomLeft" activeCell="A2" sqref="A2"/>
      <selection pane="bottomRight" activeCell="E29" sqref="E29"/>
    </sheetView>
  </sheetViews>
  <sheetFormatPr defaultColWidth="8.85546875" defaultRowHeight="12.75" x14ac:dyDescent="0.2"/>
  <cols>
    <col min="1" max="1" width="8.42578125" style="76" bestFit="1" customWidth="1"/>
    <col min="2" max="2" width="23.7109375" style="76" bestFit="1" customWidth="1"/>
    <col min="3" max="3" width="12.7109375" style="76" bestFit="1" customWidth="1"/>
    <col min="4" max="4" width="20.7109375" style="76" bestFit="1" customWidth="1"/>
    <col min="5" max="5" width="56.85546875" style="76" bestFit="1" customWidth="1"/>
    <col min="6" max="6" width="27" style="76" bestFit="1" customWidth="1"/>
    <col min="7" max="7" width="16.42578125" style="76" bestFit="1" customWidth="1"/>
    <col min="8" max="8" width="8.42578125" style="76" bestFit="1" customWidth="1"/>
    <col min="9" max="9" width="5.42578125" style="76" bestFit="1" customWidth="1"/>
    <col min="10" max="10" width="7.7109375" style="76" bestFit="1" customWidth="1"/>
    <col min="11" max="11" width="17.42578125" style="76" customWidth="1"/>
    <col min="12" max="12" width="13.85546875" style="76" bestFit="1" customWidth="1"/>
    <col min="13" max="13" width="27.85546875" style="1" bestFit="1" customWidth="1"/>
    <col min="14" max="16384" width="8.85546875" style="1"/>
  </cols>
  <sheetData>
    <row r="1" spans="1:13" x14ac:dyDescent="0.2">
      <c r="A1" s="76" t="s">
        <v>87</v>
      </c>
      <c r="B1" s="76" t="s">
        <v>1460</v>
      </c>
      <c r="C1" s="76" t="s">
        <v>1461</v>
      </c>
      <c r="D1" s="76" t="s">
        <v>1481</v>
      </c>
      <c r="E1" s="76" t="s">
        <v>1482</v>
      </c>
      <c r="F1" s="76" t="s">
        <v>1446</v>
      </c>
      <c r="G1" s="76" t="s">
        <v>1462</v>
      </c>
      <c r="H1" s="76" t="s">
        <v>1463</v>
      </c>
      <c r="I1" s="76" t="s">
        <v>1464</v>
      </c>
      <c r="J1" s="76" t="s">
        <v>1465</v>
      </c>
      <c r="K1" s="76" t="s">
        <v>1447</v>
      </c>
      <c r="L1" s="76" t="s">
        <v>1470</v>
      </c>
      <c r="M1" s="1" t="s">
        <v>1448</v>
      </c>
    </row>
    <row r="2" spans="1:13" x14ac:dyDescent="0.2">
      <c r="A2" s="76">
        <v>1</v>
      </c>
      <c r="B2" s="78" t="s">
        <v>1645</v>
      </c>
      <c r="C2" s="77" t="s">
        <v>1646</v>
      </c>
      <c r="D2" s="77" t="s">
        <v>1483</v>
      </c>
      <c r="E2" s="78" t="s">
        <v>1484</v>
      </c>
      <c r="F2" s="76" t="s">
        <v>1449</v>
      </c>
      <c r="G2" s="76" t="s">
        <v>1466</v>
      </c>
      <c r="H2" s="76" t="s">
        <v>1467</v>
      </c>
      <c r="I2" s="76" t="s">
        <v>1468</v>
      </c>
      <c r="J2" s="76">
        <v>19311</v>
      </c>
      <c r="K2" s="76" t="s">
        <v>1450</v>
      </c>
      <c r="L2" s="76" t="s">
        <v>1660</v>
      </c>
      <c r="M2" s="75" t="s">
        <v>1485</v>
      </c>
    </row>
    <row r="3" spans="1:13" x14ac:dyDescent="0.2">
      <c r="A3" s="76">
        <v>2</v>
      </c>
      <c r="B3" s="78" t="s">
        <v>1486</v>
      </c>
      <c r="C3" s="76" t="s">
        <v>1478</v>
      </c>
      <c r="D3" s="77" t="s">
        <v>1487</v>
      </c>
      <c r="E3" s="78" t="s">
        <v>1488</v>
      </c>
      <c r="F3" s="76" t="s">
        <v>1449</v>
      </c>
      <c r="G3" s="76" t="s">
        <v>1466</v>
      </c>
      <c r="H3" s="76" t="s">
        <v>1467</v>
      </c>
      <c r="I3" s="76" t="s">
        <v>1468</v>
      </c>
      <c r="J3" s="76">
        <v>19311</v>
      </c>
      <c r="K3" s="76" t="s">
        <v>1479</v>
      </c>
      <c r="M3" s="75" t="s">
        <v>1480</v>
      </c>
    </row>
    <row r="4" spans="1:13" x14ac:dyDescent="0.2">
      <c r="A4" s="76">
        <v>3</v>
      </c>
      <c r="B4" s="78" t="s">
        <v>1489</v>
      </c>
      <c r="C4" s="77" t="s">
        <v>1647</v>
      </c>
      <c r="D4" s="77" t="s">
        <v>1490</v>
      </c>
      <c r="E4" s="78" t="s">
        <v>1491</v>
      </c>
      <c r="F4" s="76" t="s">
        <v>1449</v>
      </c>
      <c r="G4" s="76" t="s">
        <v>1466</v>
      </c>
      <c r="H4" s="76" t="s">
        <v>1467</v>
      </c>
      <c r="I4" s="76" t="s">
        <v>1468</v>
      </c>
      <c r="J4" s="76">
        <v>19311</v>
      </c>
      <c r="K4" s="76" t="s">
        <v>1611</v>
      </c>
      <c r="M4" s="75" t="s">
        <v>1492</v>
      </c>
    </row>
    <row r="5" spans="1:13" x14ac:dyDescent="0.2">
      <c r="A5" s="76">
        <v>4</v>
      </c>
      <c r="B5" s="78" t="s">
        <v>1493</v>
      </c>
      <c r="C5" s="76" t="s">
        <v>1454</v>
      </c>
      <c r="D5" s="77" t="s">
        <v>1494</v>
      </c>
      <c r="E5" s="78" t="s">
        <v>1495</v>
      </c>
      <c r="F5" s="76" t="s">
        <v>1449</v>
      </c>
      <c r="G5" s="76" t="s">
        <v>1466</v>
      </c>
      <c r="H5" s="76" t="s">
        <v>1467</v>
      </c>
      <c r="I5" s="76" t="s">
        <v>1468</v>
      </c>
      <c r="J5" s="76">
        <v>19311</v>
      </c>
      <c r="K5" s="76" t="s">
        <v>1455</v>
      </c>
      <c r="L5" s="76" t="s">
        <v>1471</v>
      </c>
      <c r="M5" s="75" t="s">
        <v>1456</v>
      </c>
    </row>
    <row r="6" spans="1:13" x14ac:dyDescent="0.2">
      <c r="A6" s="76">
        <v>5</v>
      </c>
      <c r="B6" s="78" t="s">
        <v>1496</v>
      </c>
      <c r="C6" s="77"/>
      <c r="D6" s="77" t="s">
        <v>1497</v>
      </c>
      <c r="E6" s="78" t="s">
        <v>1498</v>
      </c>
      <c r="F6" s="76" t="s">
        <v>1449</v>
      </c>
      <c r="G6" s="76" t="s">
        <v>1466</v>
      </c>
      <c r="H6" s="76" t="s">
        <v>1467</v>
      </c>
      <c r="I6" s="76" t="s">
        <v>1468</v>
      </c>
      <c r="J6" s="76">
        <v>19311</v>
      </c>
      <c r="K6" s="76" t="s">
        <v>1612</v>
      </c>
      <c r="M6" s="75" t="s">
        <v>1499</v>
      </c>
    </row>
    <row r="7" spans="1:13" x14ac:dyDescent="0.2">
      <c r="A7" s="76">
        <v>6</v>
      </c>
      <c r="B7" s="78" t="s">
        <v>1500</v>
      </c>
      <c r="C7" s="78"/>
      <c r="D7" s="78"/>
      <c r="E7" s="78"/>
      <c r="F7" s="76" t="s">
        <v>1449</v>
      </c>
      <c r="G7" s="76" t="s">
        <v>1466</v>
      </c>
      <c r="H7" s="76" t="s">
        <v>1467</v>
      </c>
      <c r="I7" s="76" t="s">
        <v>1468</v>
      </c>
      <c r="J7" s="76">
        <v>19311</v>
      </c>
      <c r="K7" s="76" t="s">
        <v>1613</v>
      </c>
      <c r="M7" s="75" t="s">
        <v>1501</v>
      </c>
    </row>
    <row r="8" spans="1:13" x14ac:dyDescent="0.2">
      <c r="A8" s="76">
        <v>7</v>
      </c>
      <c r="B8" s="78" t="s">
        <v>1502</v>
      </c>
      <c r="C8" s="77"/>
      <c r="D8" s="77" t="s">
        <v>1503</v>
      </c>
      <c r="E8" s="78" t="s">
        <v>1498</v>
      </c>
      <c r="F8" s="76" t="s">
        <v>1449</v>
      </c>
      <c r="G8" s="76" t="s">
        <v>1466</v>
      </c>
      <c r="H8" s="76" t="s">
        <v>1467</v>
      </c>
      <c r="I8" s="76" t="s">
        <v>1468</v>
      </c>
      <c r="J8" s="76">
        <v>19311</v>
      </c>
      <c r="K8" s="76" t="s">
        <v>1614</v>
      </c>
      <c r="M8" s="75" t="s">
        <v>1504</v>
      </c>
    </row>
    <row r="9" spans="1:13" x14ac:dyDescent="0.2">
      <c r="A9" s="76">
        <v>8</v>
      </c>
      <c r="B9" s="78" t="s">
        <v>1505</v>
      </c>
      <c r="C9" s="77" t="s">
        <v>1648</v>
      </c>
      <c r="D9" s="77" t="s">
        <v>1506</v>
      </c>
      <c r="E9" s="78" t="s">
        <v>1507</v>
      </c>
      <c r="F9" s="76" t="s">
        <v>1449</v>
      </c>
      <c r="G9" s="76" t="s">
        <v>1466</v>
      </c>
      <c r="H9" s="76" t="s">
        <v>1467</v>
      </c>
      <c r="I9" s="76" t="s">
        <v>1468</v>
      </c>
      <c r="J9" s="76">
        <v>19311</v>
      </c>
      <c r="K9" s="76" t="s">
        <v>1615</v>
      </c>
      <c r="L9" s="76" t="s">
        <v>1661</v>
      </c>
      <c r="M9" s="75" t="s">
        <v>1508</v>
      </c>
    </row>
    <row r="10" spans="1:13" x14ac:dyDescent="0.2">
      <c r="A10" s="76">
        <v>9</v>
      </c>
      <c r="B10" s="78" t="s">
        <v>1509</v>
      </c>
      <c r="C10" s="77"/>
      <c r="D10" s="77" t="s">
        <v>1487</v>
      </c>
      <c r="E10" s="78" t="s">
        <v>1510</v>
      </c>
      <c r="F10" s="76" t="s">
        <v>1449</v>
      </c>
      <c r="G10" s="76" t="s">
        <v>1466</v>
      </c>
      <c r="H10" s="76" t="s">
        <v>1467</v>
      </c>
      <c r="I10" s="76" t="s">
        <v>1468</v>
      </c>
      <c r="J10" s="76">
        <v>19311</v>
      </c>
      <c r="K10" s="76" t="s">
        <v>1616</v>
      </c>
      <c r="M10" s="75" t="s">
        <v>1511</v>
      </c>
    </row>
    <row r="11" spans="1:13" x14ac:dyDescent="0.2">
      <c r="A11" s="76">
        <v>10</v>
      </c>
      <c r="B11" s="78" t="s">
        <v>1512</v>
      </c>
      <c r="C11" s="77"/>
      <c r="D11" s="77" t="s">
        <v>1497</v>
      </c>
      <c r="E11" s="78" t="s">
        <v>1498</v>
      </c>
      <c r="F11" s="76" t="s">
        <v>1449</v>
      </c>
      <c r="G11" s="76" t="s">
        <v>1466</v>
      </c>
      <c r="H11" s="76" t="s">
        <v>1467</v>
      </c>
      <c r="I11" s="76" t="s">
        <v>1468</v>
      </c>
      <c r="J11" s="76">
        <v>19311</v>
      </c>
      <c r="M11" s="75" t="s">
        <v>1513</v>
      </c>
    </row>
    <row r="12" spans="1:13" x14ac:dyDescent="0.2">
      <c r="A12" s="76">
        <v>11</v>
      </c>
      <c r="B12" s="78" t="s">
        <v>1514</v>
      </c>
      <c r="C12" s="78"/>
      <c r="D12" s="78" t="s">
        <v>1515</v>
      </c>
      <c r="E12" s="78" t="s">
        <v>1516</v>
      </c>
      <c r="F12" s="76" t="s">
        <v>1449</v>
      </c>
      <c r="G12" s="76" t="s">
        <v>1466</v>
      </c>
      <c r="H12" s="76" t="s">
        <v>1467</v>
      </c>
      <c r="I12" s="76" t="s">
        <v>1468</v>
      </c>
      <c r="J12" s="76">
        <v>19311</v>
      </c>
      <c r="M12" s="75" t="s">
        <v>1517</v>
      </c>
    </row>
    <row r="13" spans="1:13" x14ac:dyDescent="0.2">
      <c r="A13" s="76">
        <v>12</v>
      </c>
      <c r="B13" s="78" t="s">
        <v>1518</v>
      </c>
      <c r="C13" s="77" t="s">
        <v>1649</v>
      </c>
      <c r="D13" s="77" t="s">
        <v>1494</v>
      </c>
      <c r="E13" s="78" t="s">
        <v>1519</v>
      </c>
      <c r="F13" s="76" t="s">
        <v>1449</v>
      </c>
      <c r="G13" s="76" t="s">
        <v>1466</v>
      </c>
      <c r="H13" s="76" t="s">
        <v>1467</v>
      </c>
      <c r="I13" s="76" t="s">
        <v>1468</v>
      </c>
      <c r="J13" s="76">
        <v>19311</v>
      </c>
      <c r="K13" s="76" t="s">
        <v>1617</v>
      </c>
      <c r="L13" s="76" t="s">
        <v>1663</v>
      </c>
      <c r="M13" s="75" t="s">
        <v>1520</v>
      </c>
    </row>
    <row r="14" spans="1:13" x14ac:dyDescent="0.2">
      <c r="A14" s="76">
        <v>13</v>
      </c>
      <c r="B14" s="78" t="s">
        <v>1521</v>
      </c>
      <c r="C14" s="77"/>
      <c r="D14" s="77" t="s">
        <v>1522</v>
      </c>
      <c r="E14" s="78" t="s">
        <v>1523</v>
      </c>
      <c r="F14" s="76" t="s">
        <v>1449</v>
      </c>
      <c r="G14" s="76" t="s">
        <v>1466</v>
      </c>
      <c r="H14" s="76" t="s">
        <v>1467</v>
      </c>
      <c r="I14" s="76" t="s">
        <v>1468</v>
      </c>
      <c r="J14" s="76">
        <v>19311</v>
      </c>
      <c r="K14" s="76" t="s">
        <v>1618</v>
      </c>
      <c r="L14" s="76" t="s">
        <v>1662</v>
      </c>
      <c r="M14" s="75" t="s">
        <v>1524</v>
      </c>
    </row>
    <row r="15" spans="1:13" x14ac:dyDescent="0.2">
      <c r="A15" s="76">
        <v>14</v>
      </c>
      <c r="B15" s="78" t="s">
        <v>1525</v>
      </c>
      <c r="C15" s="77"/>
      <c r="D15" s="77" t="s">
        <v>1487</v>
      </c>
      <c r="E15" s="78" t="s">
        <v>1526</v>
      </c>
      <c r="F15" s="76" t="s">
        <v>1449</v>
      </c>
      <c r="G15" s="76" t="s">
        <v>1466</v>
      </c>
      <c r="H15" s="76" t="s">
        <v>1467</v>
      </c>
      <c r="I15" s="76" t="s">
        <v>1468</v>
      </c>
      <c r="J15" s="76">
        <v>19311</v>
      </c>
      <c r="K15" s="76" t="s">
        <v>1619</v>
      </c>
      <c r="M15" s="75" t="s">
        <v>1527</v>
      </c>
    </row>
    <row r="16" spans="1:13" x14ac:dyDescent="0.2">
      <c r="A16" s="76">
        <v>15</v>
      </c>
      <c r="B16" s="78" t="s">
        <v>1528</v>
      </c>
      <c r="C16" s="77"/>
      <c r="D16" s="77" t="s">
        <v>1503</v>
      </c>
      <c r="E16" s="78" t="s">
        <v>1529</v>
      </c>
      <c r="F16" s="76" t="s">
        <v>1449</v>
      </c>
      <c r="G16" s="76" t="s">
        <v>1466</v>
      </c>
      <c r="H16" s="76" t="s">
        <v>1467</v>
      </c>
      <c r="I16" s="76" t="s">
        <v>1468</v>
      </c>
      <c r="J16" s="76">
        <v>19311</v>
      </c>
      <c r="K16" s="76" t="s">
        <v>1620</v>
      </c>
      <c r="M16" s="75" t="s">
        <v>1530</v>
      </c>
    </row>
    <row r="17" spans="1:13" x14ac:dyDescent="0.2">
      <c r="A17" s="76">
        <v>16</v>
      </c>
      <c r="B17" s="78" t="s">
        <v>1531</v>
      </c>
      <c r="C17" s="77"/>
      <c r="D17" s="77" t="s">
        <v>1497</v>
      </c>
      <c r="E17" s="78" t="s">
        <v>1532</v>
      </c>
      <c r="F17" s="76" t="s">
        <v>1449</v>
      </c>
      <c r="G17" s="76" t="s">
        <v>1466</v>
      </c>
      <c r="H17" s="76" t="s">
        <v>1467</v>
      </c>
      <c r="I17" s="76" t="s">
        <v>1468</v>
      </c>
      <c r="J17" s="76">
        <v>19311</v>
      </c>
      <c r="K17" s="76" t="s">
        <v>1621</v>
      </c>
      <c r="M17" s="75" t="s">
        <v>1533</v>
      </c>
    </row>
    <row r="18" spans="1:13" x14ac:dyDescent="0.2">
      <c r="A18" s="76">
        <v>17</v>
      </c>
      <c r="B18" s="78" t="s">
        <v>1534</v>
      </c>
      <c r="C18" s="77" t="s">
        <v>22</v>
      </c>
      <c r="D18" s="77" t="s">
        <v>1483</v>
      </c>
      <c r="E18" s="78" t="s">
        <v>1498</v>
      </c>
      <c r="F18" s="76" t="s">
        <v>1449</v>
      </c>
      <c r="G18" s="76" t="s">
        <v>1466</v>
      </c>
      <c r="H18" s="76" t="s">
        <v>1467</v>
      </c>
      <c r="I18" s="76" t="s">
        <v>1468</v>
      </c>
      <c r="J18" s="76">
        <v>19311</v>
      </c>
      <c r="K18" s="76" t="s">
        <v>1450</v>
      </c>
      <c r="L18" s="76" t="s">
        <v>1469</v>
      </c>
      <c r="M18" s="75" t="s">
        <v>1451</v>
      </c>
    </row>
    <row r="19" spans="1:13" x14ac:dyDescent="0.2">
      <c r="A19" s="76">
        <v>18</v>
      </c>
      <c r="B19" s="78" t="s">
        <v>1535</v>
      </c>
      <c r="C19" s="77" t="s">
        <v>32</v>
      </c>
      <c r="D19" s="77" t="s">
        <v>1536</v>
      </c>
      <c r="E19" s="78" t="s">
        <v>1498</v>
      </c>
      <c r="F19" s="76" t="s">
        <v>1449</v>
      </c>
      <c r="G19" s="76" t="s">
        <v>1466</v>
      </c>
      <c r="H19" s="76" t="s">
        <v>1467</v>
      </c>
      <c r="I19" s="76" t="s">
        <v>1468</v>
      </c>
      <c r="J19" s="76">
        <v>19311</v>
      </c>
      <c r="K19" s="76" t="s">
        <v>1622</v>
      </c>
      <c r="M19" s="75" t="s">
        <v>1537</v>
      </c>
    </row>
    <row r="20" spans="1:13" x14ac:dyDescent="0.2">
      <c r="A20" s="76">
        <v>19</v>
      </c>
      <c r="B20" s="78" t="s">
        <v>1538</v>
      </c>
      <c r="C20" s="77"/>
      <c r="D20" s="77" t="s">
        <v>1539</v>
      </c>
      <c r="E20" s="78" t="s">
        <v>1540</v>
      </c>
      <c r="F20" s="76" t="s">
        <v>1449</v>
      </c>
      <c r="G20" s="76" t="s">
        <v>1466</v>
      </c>
      <c r="H20" s="76" t="s">
        <v>1467</v>
      </c>
      <c r="I20" s="76" t="s">
        <v>1468</v>
      </c>
      <c r="J20" s="76">
        <v>19311</v>
      </c>
      <c r="K20" s="76" t="s">
        <v>1623</v>
      </c>
      <c r="M20" s="75" t="s">
        <v>1541</v>
      </c>
    </row>
    <row r="21" spans="1:13" x14ac:dyDescent="0.2">
      <c r="A21" s="76">
        <v>20</v>
      </c>
      <c r="B21" s="78" t="s">
        <v>1542</v>
      </c>
      <c r="C21" s="77"/>
      <c r="D21" s="77" t="s">
        <v>1487</v>
      </c>
      <c r="E21" s="78" t="s">
        <v>1543</v>
      </c>
      <c r="F21" s="76" t="s">
        <v>1449</v>
      </c>
      <c r="G21" s="76" t="s">
        <v>1466</v>
      </c>
      <c r="H21" s="76" t="s">
        <v>1467</v>
      </c>
      <c r="I21" s="76" t="s">
        <v>1468</v>
      </c>
      <c r="J21" s="76">
        <v>19311</v>
      </c>
      <c r="K21" s="76" t="s">
        <v>1624</v>
      </c>
      <c r="M21" s="75" t="s">
        <v>1544</v>
      </c>
    </row>
    <row r="22" spans="1:13" x14ac:dyDescent="0.2">
      <c r="A22" s="76">
        <v>21</v>
      </c>
      <c r="B22" s="78" t="s">
        <v>1545</v>
      </c>
      <c r="C22" s="77" t="s">
        <v>131</v>
      </c>
      <c r="D22" s="77" t="s">
        <v>1494</v>
      </c>
      <c r="E22" s="78" t="s">
        <v>1546</v>
      </c>
      <c r="F22" s="76" t="s">
        <v>1449</v>
      </c>
      <c r="G22" s="76" t="s">
        <v>1466</v>
      </c>
      <c r="H22" s="76" t="s">
        <v>1467</v>
      </c>
      <c r="I22" s="76" t="s">
        <v>1468</v>
      </c>
      <c r="J22" s="76">
        <v>19311</v>
      </c>
      <c r="K22" s="76" t="s">
        <v>1452</v>
      </c>
      <c r="L22" s="76" t="s">
        <v>1473</v>
      </c>
      <c r="M22" s="75" t="s">
        <v>1453</v>
      </c>
    </row>
    <row r="23" spans="1:13" x14ac:dyDescent="0.2">
      <c r="A23" s="76">
        <v>22</v>
      </c>
      <c r="B23" s="78" t="s">
        <v>1547</v>
      </c>
      <c r="C23" s="78"/>
      <c r="D23" s="78"/>
      <c r="E23" s="78" t="s">
        <v>1667</v>
      </c>
      <c r="F23" s="76" t="s">
        <v>1449</v>
      </c>
      <c r="G23" s="76" t="s">
        <v>1466</v>
      </c>
      <c r="H23" s="76" t="s">
        <v>1467</v>
      </c>
      <c r="I23" s="76" t="s">
        <v>1468</v>
      </c>
      <c r="J23" s="76">
        <v>19311</v>
      </c>
      <c r="K23" s="76" t="s">
        <v>1666</v>
      </c>
      <c r="M23" s="75" t="s">
        <v>1548</v>
      </c>
    </row>
    <row r="24" spans="1:13" x14ac:dyDescent="0.2">
      <c r="A24" s="76">
        <v>23</v>
      </c>
      <c r="B24" s="78" t="s">
        <v>1549</v>
      </c>
      <c r="C24" s="77"/>
      <c r="D24" s="77" t="s">
        <v>1497</v>
      </c>
      <c r="E24" s="78" t="s">
        <v>1495</v>
      </c>
      <c r="F24" s="76" t="s">
        <v>1449</v>
      </c>
      <c r="G24" s="76" t="s">
        <v>1466</v>
      </c>
      <c r="H24" s="76" t="s">
        <v>1467</v>
      </c>
      <c r="I24" s="76" t="s">
        <v>1468</v>
      </c>
      <c r="J24" s="76">
        <v>19311</v>
      </c>
      <c r="K24" s="76" t="s">
        <v>1625</v>
      </c>
      <c r="M24" s="75" t="s">
        <v>1550</v>
      </c>
    </row>
    <row r="25" spans="1:13" x14ac:dyDescent="0.2">
      <c r="A25" s="76">
        <v>24</v>
      </c>
      <c r="B25" s="78" t="s">
        <v>1551</v>
      </c>
      <c r="C25" s="77"/>
      <c r="D25" s="77" t="s">
        <v>1506</v>
      </c>
      <c r="E25" s="78" t="s">
        <v>1529</v>
      </c>
      <c r="F25" s="76" t="s">
        <v>1449</v>
      </c>
      <c r="G25" s="76" t="s">
        <v>1466</v>
      </c>
      <c r="H25" s="76" t="s">
        <v>1467</v>
      </c>
      <c r="I25" s="76" t="s">
        <v>1468</v>
      </c>
      <c r="J25" s="76">
        <v>19311</v>
      </c>
      <c r="K25" s="76" t="s">
        <v>1626</v>
      </c>
      <c r="M25" s="75" t="s">
        <v>1552</v>
      </c>
    </row>
    <row r="26" spans="1:13" x14ac:dyDescent="0.2">
      <c r="A26" s="76">
        <v>25</v>
      </c>
      <c r="B26" s="78" t="s">
        <v>1553</v>
      </c>
      <c r="C26" s="77"/>
      <c r="D26" s="77" t="s">
        <v>1536</v>
      </c>
      <c r="E26" s="78" t="s">
        <v>1554</v>
      </c>
      <c r="F26" s="76" t="s">
        <v>1449</v>
      </c>
      <c r="G26" s="76" t="s">
        <v>1466</v>
      </c>
      <c r="H26" s="76" t="s">
        <v>1467</v>
      </c>
      <c r="I26" s="76" t="s">
        <v>1468</v>
      </c>
      <c r="J26" s="76">
        <v>19311</v>
      </c>
      <c r="K26" s="76" t="s">
        <v>1627</v>
      </c>
      <c r="M26" s="75" t="s">
        <v>1555</v>
      </c>
    </row>
    <row r="27" spans="1:13" x14ac:dyDescent="0.2">
      <c r="A27" s="76">
        <v>26</v>
      </c>
      <c r="B27" s="78" t="s">
        <v>1556</v>
      </c>
      <c r="C27" s="77" t="s">
        <v>1457</v>
      </c>
      <c r="D27" s="77" t="s">
        <v>1494</v>
      </c>
      <c r="E27" s="78" t="s">
        <v>1557</v>
      </c>
      <c r="F27" s="76" t="s">
        <v>1449</v>
      </c>
      <c r="G27" s="76" t="s">
        <v>1466</v>
      </c>
      <c r="H27" s="76" t="s">
        <v>1467</v>
      </c>
      <c r="I27" s="76" t="s">
        <v>1468</v>
      </c>
      <c r="J27" s="76">
        <v>19311</v>
      </c>
      <c r="K27" s="76" t="s">
        <v>1458</v>
      </c>
      <c r="L27" s="76" t="s">
        <v>1472</v>
      </c>
      <c r="M27" s="75" t="s">
        <v>1459</v>
      </c>
    </row>
    <row r="28" spans="1:13" x14ac:dyDescent="0.2">
      <c r="A28" s="76">
        <v>27</v>
      </c>
      <c r="B28" s="78" t="s">
        <v>1558</v>
      </c>
      <c r="C28" s="77" t="s">
        <v>1650</v>
      </c>
      <c r="D28" s="77" t="s">
        <v>1559</v>
      </c>
      <c r="E28" s="78" t="s">
        <v>1560</v>
      </c>
      <c r="F28" s="76" t="s">
        <v>1449</v>
      </c>
      <c r="G28" s="76" t="s">
        <v>1466</v>
      </c>
      <c r="H28" s="76" t="s">
        <v>1467</v>
      </c>
      <c r="I28" s="76" t="s">
        <v>1468</v>
      </c>
      <c r="J28" s="76">
        <v>19311</v>
      </c>
      <c r="K28" s="76" t="s">
        <v>1450</v>
      </c>
      <c r="M28" s="74"/>
    </row>
    <row r="29" spans="1:13" x14ac:dyDescent="0.2">
      <c r="A29" s="76">
        <v>28</v>
      </c>
      <c r="B29" s="78" t="s">
        <v>1561</v>
      </c>
      <c r="C29" s="77"/>
      <c r="D29" s="77" t="s">
        <v>1562</v>
      </c>
      <c r="E29" s="78" t="s">
        <v>1557</v>
      </c>
      <c r="F29" s="76" t="s">
        <v>1642</v>
      </c>
      <c r="H29" s="76" t="s">
        <v>1644</v>
      </c>
      <c r="I29" s="76" t="s">
        <v>1643</v>
      </c>
      <c r="J29" s="76">
        <v>19311</v>
      </c>
      <c r="K29" s="76" t="s">
        <v>1628</v>
      </c>
      <c r="M29" s="75" t="s">
        <v>1563</v>
      </c>
    </row>
    <row r="30" spans="1:13" x14ac:dyDescent="0.2">
      <c r="A30" s="76">
        <v>29</v>
      </c>
      <c r="B30" s="78" t="s">
        <v>1564</v>
      </c>
      <c r="C30" s="77"/>
      <c r="D30" s="77" t="s">
        <v>1522</v>
      </c>
      <c r="E30" s="78" t="s">
        <v>1565</v>
      </c>
      <c r="F30" s="76" t="s">
        <v>1449</v>
      </c>
      <c r="G30" s="76" t="s">
        <v>1466</v>
      </c>
      <c r="H30" s="76" t="s">
        <v>1467</v>
      </c>
      <c r="I30" s="76" t="s">
        <v>1468</v>
      </c>
      <c r="J30" s="76">
        <v>19311</v>
      </c>
      <c r="K30" s="76" t="s">
        <v>1629</v>
      </c>
      <c r="M30" s="75" t="s">
        <v>1566</v>
      </c>
    </row>
    <row r="31" spans="1:13" x14ac:dyDescent="0.2">
      <c r="A31" s="76">
        <v>30</v>
      </c>
      <c r="B31" s="78" t="s">
        <v>1567</v>
      </c>
      <c r="C31" s="77" t="s">
        <v>1651</v>
      </c>
      <c r="D31" s="77" t="s">
        <v>1536</v>
      </c>
      <c r="E31" s="78" t="s">
        <v>1568</v>
      </c>
      <c r="F31" s="76" t="s">
        <v>1449</v>
      </c>
      <c r="G31" s="76" t="s">
        <v>1466</v>
      </c>
      <c r="H31" s="76" t="s">
        <v>1467</v>
      </c>
      <c r="I31" s="76" t="s">
        <v>1468</v>
      </c>
      <c r="J31" s="76">
        <v>19311</v>
      </c>
      <c r="K31" s="76" t="s">
        <v>1630</v>
      </c>
      <c r="M31" s="75" t="s">
        <v>1569</v>
      </c>
    </row>
    <row r="32" spans="1:13" x14ac:dyDescent="0.2">
      <c r="A32" s="76">
        <v>31</v>
      </c>
      <c r="B32" s="78" t="s">
        <v>1570</v>
      </c>
      <c r="C32" s="77"/>
      <c r="D32" s="77" t="s">
        <v>1539</v>
      </c>
      <c r="E32" s="78" t="s">
        <v>1571</v>
      </c>
      <c r="F32" s="76" t="s">
        <v>1449</v>
      </c>
      <c r="G32" s="76" t="s">
        <v>1466</v>
      </c>
      <c r="H32" s="76" t="s">
        <v>1467</v>
      </c>
      <c r="I32" s="76" t="s">
        <v>1468</v>
      </c>
      <c r="J32" s="76">
        <v>19311</v>
      </c>
      <c r="K32" s="76" t="s">
        <v>1631</v>
      </c>
      <c r="L32" s="76" t="s">
        <v>1664</v>
      </c>
      <c r="M32" s="75" t="s">
        <v>1572</v>
      </c>
    </row>
    <row r="33" spans="1:13" x14ac:dyDescent="0.2">
      <c r="A33" s="76">
        <v>32</v>
      </c>
      <c r="B33" s="78" t="s">
        <v>1573</v>
      </c>
      <c r="C33" s="77" t="s">
        <v>1652</v>
      </c>
      <c r="D33" s="77" t="s">
        <v>1574</v>
      </c>
      <c r="E33" s="78" t="s">
        <v>1575</v>
      </c>
      <c r="F33" s="76" t="s">
        <v>1449</v>
      </c>
      <c r="G33" s="76" t="s">
        <v>1466</v>
      </c>
      <c r="H33" s="76" t="s">
        <v>1467</v>
      </c>
      <c r="I33" s="76" t="s">
        <v>1468</v>
      </c>
      <c r="J33" s="76">
        <v>19311</v>
      </c>
      <c r="K33" s="76" t="s">
        <v>1632</v>
      </c>
      <c r="L33" s="76" t="s">
        <v>1665</v>
      </c>
      <c r="M33" s="75" t="s">
        <v>1576</v>
      </c>
    </row>
    <row r="34" spans="1:13" x14ac:dyDescent="0.2">
      <c r="A34" s="76">
        <v>33</v>
      </c>
      <c r="B34" s="78" t="s">
        <v>1577</v>
      </c>
      <c r="C34" s="77" t="s">
        <v>1653</v>
      </c>
      <c r="D34" s="77" t="s">
        <v>1506</v>
      </c>
      <c r="E34" s="78" t="s">
        <v>1498</v>
      </c>
      <c r="F34" s="76" t="s">
        <v>1449</v>
      </c>
      <c r="G34" s="76" t="s">
        <v>1466</v>
      </c>
      <c r="H34" s="76" t="s">
        <v>1467</v>
      </c>
      <c r="I34" s="76" t="s">
        <v>1468</v>
      </c>
      <c r="J34" s="76">
        <v>19311</v>
      </c>
      <c r="K34" s="76" t="s">
        <v>1633</v>
      </c>
      <c r="M34" s="75" t="s">
        <v>1578</v>
      </c>
    </row>
    <row r="35" spans="1:13" x14ac:dyDescent="0.2">
      <c r="A35" s="76">
        <v>34</v>
      </c>
      <c r="B35" s="78" t="s">
        <v>1579</v>
      </c>
      <c r="C35" s="77"/>
      <c r="D35" s="77" t="s">
        <v>1536</v>
      </c>
      <c r="E35" s="78" t="s">
        <v>1580</v>
      </c>
      <c r="F35" s="76" t="s">
        <v>1449</v>
      </c>
      <c r="G35" s="76" t="s">
        <v>1466</v>
      </c>
      <c r="H35" s="76" t="s">
        <v>1467</v>
      </c>
      <c r="I35" s="76" t="s">
        <v>1468</v>
      </c>
      <c r="J35" s="76">
        <v>19311</v>
      </c>
      <c r="K35" s="76" t="s">
        <v>1634</v>
      </c>
      <c r="M35" s="75" t="s">
        <v>1581</v>
      </c>
    </row>
    <row r="36" spans="1:13" x14ac:dyDescent="0.2">
      <c r="A36" s="76">
        <v>35</v>
      </c>
      <c r="B36" s="78" t="s">
        <v>1582</v>
      </c>
      <c r="C36" s="77" t="s">
        <v>1474</v>
      </c>
      <c r="D36" s="77" t="s">
        <v>1483</v>
      </c>
      <c r="E36" s="78" t="s">
        <v>1583</v>
      </c>
      <c r="F36" s="76" t="s">
        <v>1449</v>
      </c>
      <c r="G36" s="76" t="s">
        <v>1466</v>
      </c>
      <c r="H36" s="76" t="s">
        <v>1467</v>
      </c>
      <c r="I36" s="76" t="s">
        <v>1468</v>
      </c>
      <c r="J36" s="76">
        <v>19311</v>
      </c>
      <c r="K36" s="76" t="s">
        <v>1475</v>
      </c>
      <c r="L36" s="76" t="s">
        <v>1476</v>
      </c>
      <c r="M36" s="75" t="s">
        <v>1477</v>
      </c>
    </row>
    <row r="37" spans="1:13" x14ac:dyDescent="0.2">
      <c r="A37" s="76">
        <v>36</v>
      </c>
      <c r="B37" s="78" t="s">
        <v>1584</v>
      </c>
      <c r="C37" s="77"/>
      <c r="D37" s="77" t="s">
        <v>1497</v>
      </c>
      <c r="E37" s="78" t="s">
        <v>1498</v>
      </c>
      <c r="F37" s="76" t="s">
        <v>1449</v>
      </c>
      <c r="G37" s="76" t="s">
        <v>1466</v>
      </c>
      <c r="H37" s="76" t="s">
        <v>1467</v>
      </c>
      <c r="I37" s="76" t="s">
        <v>1468</v>
      </c>
      <c r="J37" s="76">
        <v>19311</v>
      </c>
      <c r="K37" s="76" t="s">
        <v>1635</v>
      </c>
      <c r="M37" s="75" t="s">
        <v>1585</v>
      </c>
    </row>
    <row r="38" spans="1:13" x14ac:dyDescent="0.2">
      <c r="A38" s="76">
        <v>37</v>
      </c>
      <c r="B38" s="78" t="s">
        <v>1586</v>
      </c>
      <c r="C38" s="77"/>
      <c r="D38" s="77" t="s">
        <v>1490</v>
      </c>
      <c r="E38" s="78" t="s">
        <v>1587</v>
      </c>
      <c r="F38" s="76" t="s">
        <v>1449</v>
      </c>
      <c r="G38" s="76" t="s">
        <v>1466</v>
      </c>
      <c r="H38" s="76" t="s">
        <v>1467</v>
      </c>
      <c r="I38" s="76" t="s">
        <v>1468</v>
      </c>
      <c r="J38" s="76">
        <v>19311</v>
      </c>
      <c r="K38" s="76" t="s">
        <v>1636</v>
      </c>
      <c r="M38" s="75" t="s">
        <v>1588</v>
      </c>
    </row>
    <row r="39" spans="1:13" x14ac:dyDescent="0.2">
      <c r="A39" s="76">
        <v>38</v>
      </c>
      <c r="B39" s="78" t="s">
        <v>1589</v>
      </c>
      <c r="C39" s="77"/>
      <c r="D39" s="77" t="s">
        <v>1574</v>
      </c>
      <c r="E39" s="78" t="s">
        <v>1590</v>
      </c>
      <c r="F39" s="76" t="s">
        <v>1449</v>
      </c>
      <c r="G39" s="76" t="s">
        <v>1466</v>
      </c>
      <c r="H39" s="76" t="s">
        <v>1467</v>
      </c>
      <c r="I39" s="76" t="s">
        <v>1468</v>
      </c>
      <c r="J39" s="76">
        <v>19311</v>
      </c>
      <c r="M39" s="74"/>
    </row>
    <row r="40" spans="1:13" x14ac:dyDescent="0.2">
      <c r="A40" s="76">
        <v>39</v>
      </c>
      <c r="B40" s="78" t="s">
        <v>1591</v>
      </c>
      <c r="C40" s="77" t="s">
        <v>1654</v>
      </c>
      <c r="D40" s="77" t="s">
        <v>1536</v>
      </c>
      <c r="E40" s="78" t="s">
        <v>1498</v>
      </c>
      <c r="F40" s="76" t="s">
        <v>1449</v>
      </c>
      <c r="G40" s="76" t="s">
        <v>1466</v>
      </c>
      <c r="H40" s="76" t="s">
        <v>1467</v>
      </c>
      <c r="I40" s="76" t="s">
        <v>1468</v>
      </c>
      <c r="J40" s="76">
        <v>19311</v>
      </c>
      <c r="K40" s="76" t="s">
        <v>1638</v>
      </c>
      <c r="M40" s="75" t="s">
        <v>1592</v>
      </c>
    </row>
    <row r="41" spans="1:13" x14ac:dyDescent="0.2">
      <c r="A41" s="76">
        <v>40</v>
      </c>
      <c r="B41" s="78" t="s">
        <v>1593</v>
      </c>
      <c r="C41" s="77"/>
      <c r="D41" s="77" t="s">
        <v>1574</v>
      </c>
      <c r="E41" s="78" t="s">
        <v>1594</v>
      </c>
      <c r="F41" s="76" t="s">
        <v>1449</v>
      </c>
      <c r="G41" s="76" t="s">
        <v>1466</v>
      </c>
      <c r="H41" s="76" t="s">
        <v>1467</v>
      </c>
      <c r="I41" s="76" t="s">
        <v>1468</v>
      </c>
      <c r="J41" s="76">
        <v>19311</v>
      </c>
      <c r="K41" s="76" t="s">
        <v>1632</v>
      </c>
      <c r="M41" s="74"/>
    </row>
    <row r="42" spans="1:13" x14ac:dyDescent="0.2">
      <c r="A42" s="76">
        <v>41</v>
      </c>
      <c r="B42" s="78" t="s">
        <v>1595</v>
      </c>
      <c r="C42" s="77"/>
      <c r="D42" s="77" t="s">
        <v>1562</v>
      </c>
      <c r="E42" s="78" t="s">
        <v>1557</v>
      </c>
      <c r="F42" s="76" t="s">
        <v>1642</v>
      </c>
      <c r="H42" s="76" t="s">
        <v>1644</v>
      </c>
      <c r="I42" s="76" t="s">
        <v>1643</v>
      </c>
      <c r="J42" s="76">
        <v>19311</v>
      </c>
      <c r="K42" s="76" t="s">
        <v>1628</v>
      </c>
      <c r="M42" s="75" t="s">
        <v>1596</v>
      </c>
    </row>
    <row r="43" spans="1:13" x14ac:dyDescent="0.2">
      <c r="A43" s="76">
        <v>42</v>
      </c>
      <c r="B43" s="78" t="s">
        <v>1597</v>
      </c>
      <c r="C43" s="77"/>
      <c r="D43" s="77" t="s">
        <v>1490</v>
      </c>
      <c r="E43" s="78"/>
      <c r="F43" s="76" t="s">
        <v>1449</v>
      </c>
      <c r="G43" s="76" t="s">
        <v>1466</v>
      </c>
      <c r="H43" s="76" t="s">
        <v>1467</v>
      </c>
      <c r="I43" s="76" t="s">
        <v>1468</v>
      </c>
      <c r="J43" s="76">
        <v>19311</v>
      </c>
      <c r="K43" s="76" t="s">
        <v>1637</v>
      </c>
      <c r="M43" s="75" t="s">
        <v>1598</v>
      </c>
    </row>
    <row r="44" spans="1:13" x14ac:dyDescent="0.2">
      <c r="A44" s="76">
        <v>43</v>
      </c>
      <c r="B44" s="78" t="s">
        <v>1599</v>
      </c>
      <c r="C44" s="77" t="s">
        <v>1655</v>
      </c>
      <c r="D44" s="77" t="s">
        <v>1490</v>
      </c>
      <c r="E44" s="78" t="s">
        <v>1600</v>
      </c>
      <c r="F44" s="76" t="s">
        <v>1449</v>
      </c>
      <c r="G44" s="76" t="s">
        <v>1466</v>
      </c>
      <c r="H44" s="76" t="s">
        <v>1467</v>
      </c>
      <c r="I44" s="76" t="s">
        <v>1468</v>
      </c>
      <c r="J44" s="76">
        <v>19311</v>
      </c>
      <c r="K44" s="76" t="s">
        <v>1639</v>
      </c>
      <c r="M44" s="75" t="s">
        <v>1601</v>
      </c>
    </row>
    <row r="45" spans="1:13" x14ac:dyDescent="0.2">
      <c r="A45" s="76">
        <v>44</v>
      </c>
      <c r="B45" s="78" t="s">
        <v>1602</v>
      </c>
      <c r="C45" s="77"/>
      <c r="D45" s="77" t="s">
        <v>1574</v>
      </c>
      <c r="E45" s="78" t="s">
        <v>1594</v>
      </c>
      <c r="F45" s="76" t="s">
        <v>1449</v>
      </c>
      <c r="G45" s="76" t="s">
        <v>1466</v>
      </c>
      <c r="H45" s="76" t="s">
        <v>1467</v>
      </c>
      <c r="I45" s="76" t="s">
        <v>1468</v>
      </c>
      <c r="J45" s="76">
        <v>19311</v>
      </c>
      <c r="K45" s="76" t="s">
        <v>1632</v>
      </c>
      <c r="M45" s="74"/>
    </row>
    <row r="46" spans="1:13" x14ac:dyDescent="0.2">
      <c r="A46" s="76">
        <v>45</v>
      </c>
      <c r="B46" s="78" t="s">
        <v>1603</v>
      </c>
      <c r="C46" s="77"/>
      <c r="D46" s="77" t="s">
        <v>1490</v>
      </c>
      <c r="E46" s="78" t="s">
        <v>1604</v>
      </c>
      <c r="F46" s="76" t="s">
        <v>1449</v>
      </c>
      <c r="G46" s="76" t="s">
        <v>1466</v>
      </c>
      <c r="H46" s="76" t="s">
        <v>1467</v>
      </c>
      <c r="I46" s="76" t="s">
        <v>1468</v>
      </c>
      <c r="J46" s="76">
        <v>19311</v>
      </c>
      <c r="K46" s="76" t="s">
        <v>1640</v>
      </c>
      <c r="M46" s="75" t="s">
        <v>1605</v>
      </c>
    </row>
    <row r="47" spans="1:13" x14ac:dyDescent="0.2">
      <c r="A47" s="76">
        <v>46</v>
      </c>
      <c r="B47" s="78" t="s">
        <v>1606</v>
      </c>
      <c r="C47" s="77"/>
      <c r="D47" s="77" t="s">
        <v>1497</v>
      </c>
      <c r="E47" s="78" t="s">
        <v>1498</v>
      </c>
      <c r="F47" s="76" t="s">
        <v>1449</v>
      </c>
      <c r="G47" s="76" t="s">
        <v>1466</v>
      </c>
      <c r="H47" s="76" t="s">
        <v>1467</v>
      </c>
      <c r="I47" s="76" t="s">
        <v>1468</v>
      </c>
      <c r="J47" s="76">
        <v>19311</v>
      </c>
      <c r="K47" s="76" t="s">
        <v>1641</v>
      </c>
      <c r="M47" s="75" t="s">
        <v>1607</v>
      </c>
    </row>
    <row r="48" spans="1:13" x14ac:dyDescent="0.2">
      <c r="A48" s="76">
        <v>47</v>
      </c>
      <c r="B48" s="78" t="s">
        <v>1608</v>
      </c>
      <c r="C48" s="77"/>
      <c r="D48" s="77" t="s">
        <v>1539</v>
      </c>
      <c r="E48" s="78" t="s">
        <v>1609</v>
      </c>
      <c r="F48" s="76" t="s">
        <v>1449</v>
      </c>
      <c r="G48" s="76" t="s">
        <v>1466</v>
      </c>
      <c r="H48" s="76" t="s">
        <v>1467</v>
      </c>
      <c r="I48" s="76" t="s">
        <v>1468</v>
      </c>
      <c r="J48" s="76">
        <v>19311</v>
      </c>
      <c r="M48" s="75" t="s">
        <v>1610</v>
      </c>
    </row>
    <row r="49" spans="1:13" x14ac:dyDescent="0.2">
      <c r="A49" s="76">
        <v>48</v>
      </c>
      <c r="B49" s="78" t="s">
        <v>1656</v>
      </c>
      <c r="C49" s="76" t="s">
        <v>130</v>
      </c>
      <c r="E49" s="78" t="s">
        <v>1658</v>
      </c>
      <c r="F49" s="76" t="s">
        <v>1659</v>
      </c>
      <c r="M49" s="73" t="s">
        <v>1657</v>
      </c>
    </row>
  </sheetData>
  <sortState ref="A2:M54">
    <sortCondition ref="B2:B54"/>
  </sortState>
  <hyperlinks>
    <hyperlink ref="M2" r:id="rId1" display="mailto:banderson@stroudcenter.org"/>
    <hyperlink ref="M3" r:id="rId2" display="mailto:marnold@stroudcenter.org"/>
    <hyperlink ref="M4" r:id="rId3" display="mailto:darscott@stroudcenter.org"/>
    <hyperlink ref="M5" r:id="rId4" display="mailto:aufdenkampe@stroudcenter.org"/>
    <hyperlink ref="M6" r:id="rId5" display="mailto:jbattle@stroudcenter.org"/>
    <hyperlink ref="M7" r:id="rId6" display="mailto:jblaine1945@gmail.com"/>
    <hyperlink ref="M8" r:id="rId7" display="mailto:lborecki@stroudcenter.org"/>
    <hyperlink ref="M9" r:id="rId8" display="mailto:tlbott@stroudcenter.org"/>
    <hyperlink ref="M10" r:id="rId9" display="mailto:hbrooks@stroudcenter.org"/>
    <hyperlink ref="M11" r:id="rId10" display="mailto:mbroomall@stroudcenter.org"/>
    <hyperlink ref="M12" r:id="rId11" display="mailto:lcarter@stroudcenter.org"/>
    <hyperlink ref="M13" r:id="rId12" display="mailto:sdix@stroudcenter.org"/>
    <hyperlink ref="M14" r:id="rId13" display="mailto:kdixon@stroudcenter.org"/>
    <hyperlink ref="M15" r:id="rId14" display="mailto:cdow@stroudcenter.org"/>
    <hyperlink ref="M16" r:id="rId15" display="mailto:weldridge@stroudcenter.org"/>
    <hyperlink ref="M17" r:id="rId16" display="mailto:dhfunk@stroudcenter.org"/>
    <hyperlink ref="M18" r:id="rId17" display="mailto:sgeleskie@stroudcenter.org"/>
    <hyperlink ref="M19" r:id="rId18" display="mailto:mgentile@stroudcenter.org"/>
    <hyperlink ref="M20" r:id="rId19" display="mailto:sgill@stroudcenter.org"/>
    <hyperlink ref="M21" r:id="rId20" display="mailto:lgregg@stroudcenter.org"/>
    <hyperlink ref="M22" r:id="rId21" display="mailto:shicks@stroudcenter.org"/>
    <hyperlink ref="M23" r:id="rId22" display="mailto:dhuskinson@stroudcenter.org"/>
    <hyperlink ref="M24" r:id="rId23" display="mailto:jkjackson@stroudcenter.org"/>
    <hyperlink ref="M25" r:id="rId24" display="mailto:jkan@stroudcenter.org"/>
    <hyperlink ref="M26" r:id="rId25" display="mailto:lakaplan@stroudcenter.org"/>
    <hyperlink ref="M27" r:id="rId26" display="mailto:dkarwan@stroudcenter.org"/>
    <hyperlink ref="M29" r:id="rId27" display="mailto:olesyalaz@gmail.com"/>
    <hyperlink ref="M30" r:id="rId28" display="mailto:klisi@stroudcenter.org"/>
    <hyperlink ref="M31" r:id="rId29" display="mailto:chmc@sas.upenn.edu"/>
    <hyperlink ref="M32" r:id="rId30" display="mailto:cmedved@stroudcenter.org"/>
    <hyperlink ref="M33" r:id="rId31" display="mailto:wmilliken@stroudcenter.org"/>
    <hyperlink ref="M34" r:id="rId32" display="mailto:davemont@stroudcenter.org"/>
    <hyperlink ref="M35" r:id="rId33" display="mailto:jmosher@stroudcenter.org"/>
    <hyperlink ref="M36" r:id="rId34" display="mailto:newbold@stroudcenter.org"/>
    <hyperlink ref="M37" r:id="rId35" display="mailto:speirson@stroudcenter.org"/>
    <hyperlink ref="M38" r:id="rId36" display="mailto:jdpepe@stroudcenter.org"/>
    <hyperlink ref="M40" r:id="rId37" display="mailto:sroberts@stroudcenter.org"/>
    <hyperlink ref="M42" r:id="rId38" display="mailto:crosier@udel.edu"/>
    <hyperlink ref="M43" r:id="rId39" display="mailto:jsowden@stroudcenter.org"/>
    <hyperlink ref="M44" r:id="rId40" display="mailto:sweeney@stroudcenter.org"/>
    <hyperlink ref="M46" r:id="rId41" display="mailto:svontill@stroudcenter.org"/>
    <hyperlink ref="M47" r:id="rId42" display="mailto:rmweber@stroudcenter.org"/>
    <hyperlink ref="M48" r:id="rId43" display="mailto:vwilliamsee@gmail.com"/>
    <hyperlink ref="M49" r:id="rId44"/>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343"/>
  <sheetViews>
    <sheetView workbookViewId="0">
      <pane xSplit="1" ySplit="1" topLeftCell="B2" activePane="bottomRight" state="frozen"/>
      <selection pane="topRight" activeCell="B1" sqref="B1"/>
      <selection pane="bottomLeft" activeCell="A2" sqref="A2"/>
      <selection pane="bottomRight" activeCell="D343" sqref="A1:D343"/>
    </sheetView>
  </sheetViews>
  <sheetFormatPr defaultColWidth="11.42578125" defaultRowHeight="12.75" x14ac:dyDescent="0.2"/>
  <cols>
    <col min="1" max="1" width="7.42578125" bestFit="1" customWidth="1"/>
    <col min="2" max="2" width="20.42578125" customWidth="1"/>
    <col min="3" max="3" width="20" bestFit="1" customWidth="1"/>
    <col min="4" max="4" width="17.42578125" bestFit="1" customWidth="1"/>
    <col min="6" max="6" width="57.7109375" bestFit="1" customWidth="1"/>
    <col min="7" max="7" width="51" bestFit="1" customWidth="1"/>
    <col min="8" max="8" width="5.42578125" bestFit="1" customWidth="1"/>
  </cols>
  <sheetData>
    <row r="1" spans="1:8" ht="30" x14ac:dyDescent="0.25">
      <c r="A1" s="11" t="s">
        <v>132</v>
      </c>
      <c r="B1" s="11" t="s">
        <v>164</v>
      </c>
      <c r="C1" s="11" t="s">
        <v>165</v>
      </c>
      <c r="D1" s="11" t="s">
        <v>166</v>
      </c>
      <c r="F1" s="50" t="s">
        <v>1402</v>
      </c>
    </row>
    <row r="2" spans="1:8" x14ac:dyDescent="0.2">
      <c r="A2" s="12">
        <v>1</v>
      </c>
      <c r="B2" s="12" t="s">
        <v>167</v>
      </c>
      <c r="C2" s="12" t="s">
        <v>168</v>
      </c>
      <c r="D2" s="12" t="s">
        <v>169</v>
      </c>
      <c r="F2" s="50" t="s">
        <v>165</v>
      </c>
      <c r="G2" s="50" t="s">
        <v>164</v>
      </c>
      <c r="H2" t="s">
        <v>1391</v>
      </c>
    </row>
    <row r="3" spans="1:8" x14ac:dyDescent="0.2">
      <c r="A3" s="13">
        <v>2</v>
      </c>
      <c r="B3" s="13" t="s">
        <v>170</v>
      </c>
      <c r="C3" s="13" t="s">
        <v>171</v>
      </c>
      <c r="D3" s="13" t="s">
        <v>172</v>
      </c>
      <c r="F3" t="s">
        <v>717</v>
      </c>
      <c r="G3" t="s">
        <v>716</v>
      </c>
      <c r="H3" s="45">
        <v>1</v>
      </c>
    </row>
    <row r="4" spans="1:8" x14ac:dyDescent="0.2">
      <c r="A4" s="12">
        <v>3</v>
      </c>
      <c r="B4" s="12" t="s">
        <v>173</v>
      </c>
      <c r="C4" s="12" t="s">
        <v>171</v>
      </c>
      <c r="D4" s="12" t="s">
        <v>173</v>
      </c>
      <c r="F4" t="s">
        <v>734</v>
      </c>
      <c r="G4" t="s">
        <v>733</v>
      </c>
      <c r="H4" s="45">
        <v>1</v>
      </c>
    </row>
    <row r="5" spans="1:8" x14ac:dyDescent="0.2">
      <c r="A5" s="13">
        <v>4</v>
      </c>
      <c r="B5" s="13" t="s">
        <v>174</v>
      </c>
      <c r="C5" s="13" t="s">
        <v>171</v>
      </c>
      <c r="D5" s="13" t="s">
        <v>175</v>
      </c>
      <c r="F5" t="s">
        <v>171</v>
      </c>
      <c r="G5" t="s">
        <v>184</v>
      </c>
      <c r="H5" s="45">
        <v>1</v>
      </c>
    </row>
    <row r="6" spans="1:8" x14ac:dyDescent="0.2">
      <c r="A6" s="12">
        <v>5</v>
      </c>
      <c r="B6" s="12" t="s">
        <v>176</v>
      </c>
      <c r="C6" s="12" t="s">
        <v>171</v>
      </c>
      <c r="D6" s="12" t="s">
        <v>177</v>
      </c>
      <c r="F6" t="s">
        <v>171</v>
      </c>
      <c r="G6" t="s">
        <v>186</v>
      </c>
      <c r="H6" s="45">
        <v>1</v>
      </c>
    </row>
    <row r="7" spans="1:8" x14ac:dyDescent="0.2">
      <c r="A7" s="13">
        <v>6</v>
      </c>
      <c r="B7" s="13" t="s">
        <v>178</v>
      </c>
      <c r="C7" s="13" t="s">
        <v>171</v>
      </c>
      <c r="D7" s="13" t="s">
        <v>179</v>
      </c>
      <c r="F7" t="s">
        <v>171</v>
      </c>
      <c r="G7" t="s">
        <v>170</v>
      </c>
      <c r="H7" s="45">
        <v>1</v>
      </c>
    </row>
    <row r="8" spans="1:8" x14ac:dyDescent="0.2">
      <c r="A8" s="12">
        <v>7</v>
      </c>
      <c r="B8" s="12" t="s">
        <v>180</v>
      </c>
      <c r="C8" s="12" t="s">
        <v>171</v>
      </c>
      <c r="D8" s="12" t="s">
        <v>181</v>
      </c>
      <c r="F8" t="s">
        <v>171</v>
      </c>
      <c r="G8" t="s">
        <v>182</v>
      </c>
      <c r="H8" s="45">
        <v>1</v>
      </c>
    </row>
    <row r="9" spans="1:8" x14ac:dyDescent="0.2">
      <c r="A9" s="13">
        <v>8</v>
      </c>
      <c r="B9" s="13" t="s">
        <v>182</v>
      </c>
      <c r="C9" s="13" t="s">
        <v>171</v>
      </c>
      <c r="D9" s="13" t="s">
        <v>183</v>
      </c>
      <c r="F9" t="s">
        <v>171</v>
      </c>
      <c r="G9" t="s">
        <v>176</v>
      </c>
      <c r="H9" s="45">
        <v>1</v>
      </c>
    </row>
    <row r="10" spans="1:8" x14ac:dyDescent="0.2">
      <c r="A10" s="12">
        <v>9</v>
      </c>
      <c r="B10" s="12" t="s">
        <v>184</v>
      </c>
      <c r="C10" s="12" t="s">
        <v>171</v>
      </c>
      <c r="D10" s="12" t="s">
        <v>185</v>
      </c>
      <c r="F10" t="s">
        <v>171</v>
      </c>
      <c r="G10" t="s">
        <v>178</v>
      </c>
      <c r="H10" s="45">
        <v>1</v>
      </c>
    </row>
    <row r="11" spans="1:8" x14ac:dyDescent="0.2">
      <c r="A11" s="13">
        <v>10</v>
      </c>
      <c r="B11" s="13" t="s">
        <v>186</v>
      </c>
      <c r="C11" s="13" t="s">
        <v>171</v>
      </c>
      <c r="D11" s="13" t="s">
        <v>187</v>
      </c>
      <c r="F11" t="s">
        <v>171</v>
      </c>
      <c r="G11" t="s">
        <v>180</v>
      </c>
      <c r="H11" s="45">
        <v>1</v>
      </c>
    </row>
    <row r="12" spans="1:8" x14ac:dyDescent="0.2">
      <c r="A12" s="12">
        <v>11</v>
      </c>
      <c r="B12" s="12" t="s">
        <v>188</v>
      </c>
      <c r="C12" s="12" t="s">
        <v>171</v>
      </c>
      <c r="D12" s="12" t="s">
        <v>189</v>
      </c>
      <c r="F12" t="s">
        <v>171</v>
      </c>
      <c r="G12" t="s">
        <v>449</v>
      </c>
      <c r="H12" s="45">
        <v>1</v>
      </c>
    </row>
    <row r="13" spans="1:8" x14ac:dyDescent="0.2">
      <c r="A13" s="13">
        <v>12</v>
      </c>
      <c r="B13" s="13" t="s">
        <v>190</v>
      </c>
      <c r="C13" s="13" t="s">
        <v>191</v>
      </c>
      <c r="D13" s="13" t="s">
        <v>192</v>
      </c>
      <c r="F13" t="s">
        <v>171</v>
      </c>
      <c r="G13" t="s">
        <v>173</v>
      </c>
      <c r="H13" s="45">
        <v>1</v>
      </c>
    </row>
    <row r="14" spans="1:8" x14ac:dyDescent="0.2">
      <c r="A14" s="12">
        <v>13</v>
      </c>
      <c r="B14" s="12" t="s">
        <v>193</v>
      </c>
      <c r="C14" s="12" t="s">
        <v>191</v>
      </c>
      <c r="D14" s="12" t="s">
        <v>194</v>
      </c>
      <c r="F14" t="s">
        <v>171</v>
      </c>
      <c r="G14" t="s">
        <v>174</v>
      </c>
      <c r="H14" s="45">
        <v>1</v>
      </c>
    </row>
    <row r="15" spans="1:8" x14ac:dyDescent="0.2">
      <c r="A15" s="13">
        <v>14</v>
      </c>
      <c r="B15" s="13" t="s">
        <v>195</v>
      </c>
      <c r="C15" s="13" t="s">
        <v>191</v>
      </c>
      <c r="D15" s="13" t="s">
        <v>196</v>
      </c>
      <c r="F15" t="s">
        <v>171</v>
      </c>
      <c r="G15" t="s">
        <v>188</v>
      </c>
      <c r="H15" s="45">
        <v>1</v>
      </c>
    </row>
    <row r="16" spans="1:8" x14ac:dyDescent="0.2">
      <c r="A16" s="12">
        <v>15</v>
      </c>
      <c r="B16" s="12" t="s">
        <v>197</v>
      </c>
      <c r="C16" s="12" t="s">
        <v>191</v>
      </c>
      <c r="D16" s="12" t="s">
        <v>198</v>
      </c>
      <c r="F16" t="s">
        <v>191</v>
      </c>
      <c r="G16" t="s">
        <v>190</v>
      </c>
      <c r="H16" s="45">
        <v>1</v>
      </c>
    </row>
    <row r="17" spans="1:8" x14ac:dyDescent="0.2">
      <c r="A17" s="13">
        <v>16</v>
      </c>
      <c r="B17" s="13" t="s">
        <v>199</v>
      </c>
      <c r="C17" s="13" t="s">
        <v>191</v>
      </c>
      <c r="D17" s="13" t="s">
        <v>200</v>
      </c>
      <c r="F17" t="s">
        <v>191</v>
      </c>
      <c r="G17" t="s">
        <v>193</v>
      </c>
      <c r="H17" s="45">
        <v>1</v>
      </c>
    </row>
    <row r="18" spans="1:8" x14ac:dyDescent="0.2">
      <c r="A18" s="12">
        <v>17</v>
      </c>
      <c r="B18" s="12" t="s">
        <v>201</v>
      </c>
      <c r="C18" s="12" t="s">
        <v>191</v>
      </c>
      <c r="D18" s="12" t="s">
        <v>202</v>
      </c>
      <c r="F18" t="s">
        <v>191</v>
      </c>
      <c r="G18" t="s">
        <v>195</v>
      </c>
      <c r="H18" s="45">
        <v>1</v>
      </c>
    </row>
    <row r="19" spans="1:8" x14ac:dyDescent="0.2">
      <c r="A19" s="13">
        <v>18</v>
      </c>
      <c r="B19" s="13" t="s">
        <v>203</v>
      </c>
      <c r="C19" s="13" t="s">
        <v>191</v>
      </c>
      <c r="D19" s="13" t="s">
        <v>204</v>
      </c>
      <c r="F19" t="s">
        <v>191</v>
      </c>
      <c r="G19" t="s">
        <v>197</v>
      </c>
      <c r="H19" s="45">
        <v>1</v>
      </c>
    </row>
    <row r="20" spans="1:8" x14ac:dyDescent="0.2">
      <c r="A20" s="12">
        <v>19</v>
      </c>
      <c r="B20" s="12" t="s">
        <v>205</v>
      </c>
      <c r="C20" s="12" t="s">
        <v>206</v>
      </c>
      <c r="D20" s="12" t="s">
        <v>207</v>
      </c>
      <c r="F20" t="s">
        <v>191</v>
      </c>
      <c r="G20" t="s">
        <v>199</v>
      </c>
      <c r="H20" s="45">
        <v>1</v>
      </c>
    </row>
    <row r="21" spans="1:8" x14ac:dyDescent="0.2">
      <c r="A21" s="13">
        <v>20</v>
      </c>
      <c r="B21" s="13" t="s">
        <v>208</v>
      </c>
      <c r="C21" s="13" t="s">
        <v>209</v>
      </c>
      <c r="D21" s="13" t="s">
        <v>210</v>
      </c>
      <c r="F21" t="s">
        <v>191</v>
      </c>
      <c r="G21" t="s">
        <v>201</v>
      </c>
      <c r="H21" s="45">
        <v>1</v>
      </c>
    </row>
    <row r="22" spans="1:8" x14ac:dyDescent="0.2">
      <c r="A22" s="12">
        <v>21</v>
      </c>
      <c r="B22" s="12" t="s">
        <v>211</v>
      </c>
      <c r="C22" s="12" t="s">
        <v>212</v>
      </c>
      <c r="D22" s="12" t="s">
        <v>213</v>
      </c>
      <c r="F22" t="s">
        <v>191</v>
      </c>
      <c r="G22" t="s">
        <v>203</v>
      </c>
      <c r="H22" s="45">
        <v>1</v>
      </c>
    </row>
    <row r="23" spans="1:8" x14ac:dyDescent="0.2">
      <c r="A23" s="13">
        <v>22</v>
      </c>
      <c r="B23" s="13" t="s">
        <v>214</v>
      </c>
      <c r="C23" s="13" t="s">
        <v>212</v>
      </c>
      <c r="D23" s="13" t="s">
        <v>215</v>
      </c>
      <c r="F23" t="s">
        <v>494</v>
      </c>
      <c r="G23" t="s">
        <v>493</v>
      </c>
      <c r="H23" s="45">
        <v>1</v>
      </c>
    </row>
    <row r="24" spans="1:8" x14ac:dyDescent="0.2">
      <c r="A24" s="12">
        <v>23</v>
      </c>
      <c r="B24" s="12" t="s">
        <v>216</v>
      </c>
      <c r="C24" s="12" t="s">
        <v>212</v>
      </c>
      <c r="D24" s="12" t="s">
        <v>216</v>
      </c>
      <c r="F24" t="s">
        <v>494</v>
      </c>
      <c r="G24" t="s">
        <v>879</v>
      </c>
      <c r="H24" s="45">
        <v>1</v>
      </c>
    </row>
    <row r="25" spans="1:8" x14ac:dyDescent="0.2">
      <c r="A25" s="13">
        <v>24</v>
      </c>
      <c r="B25" s="13" t="s">
        <v>217</v>
      </c>
      <c r="C25" s="13" t="s">
        <v>212</v>
      </c>
      <c r="D25" s="13" t="s">
        <v>218</v>
      </c>
      <c r="F25" t="s">
        <v>494</v>
      </c>
      <c r="G25" t="s">
        <v>498</v>
      </c>
      <c r="H25" s="45">
        <v>1</v>
      </c>
    </row>
    <row r="26" spans="1:8" x14ac:dyDescent="0.2">
      <c r="A26" s="12">
        <v>25</v>
      </c>
      <c r="B26" s="12" t="s">
        <v>219</v>
      </c>
      <c r="C26" s="12" t="s">
        <v>212</v>
      </c>
      <c r="D26" s="12" t="s">
        <v>220</v>
      </c>
      <c r="F26" t="s">
        <v>494</v>
      </c>
      <c r="G26" t="s">
        <v>496</v>
      </c>
      <c r="H26" s="45">
        <v>1</v>
      </c>
    </row>
    <row r="27" spans="1:8" x14ac:dyDescent="0.2">
      <c r="A27" s="13">
        <v>26</v>
      </c>
      <c r="B27" s="13" t="s">
        <v>221</v>
      </c>
      <c r="C27" s="13" t="s">
        <v>212</v>
      </c>
      <c r="D27" s="13" t="s">
        <v>222</v>
      </c>
      <c r="F27" t="s">
        <v>757</v>
      </c>
      <c r="G27" t="s">
        <v>842</v>
      </c>
      <c r="H27" s="45">
        <v>1</v>
      </c>
    </row>
    <row r="28" spans="1:8" x14ac:dyDescent="0.2">
      <c r="A28" s="12">
        <v>27</v>
      </c>
      <c r="B28" s="12" t="s">
        <v>223</v>
      </c>
      <c r="C28" s="12" t="s">
        <v>212</v>
      </c>
      <c r="D28" s="12" t="s">
        <v>224</v>
      </c>
      <c r="F28" t="s">
        <v>757</v>
      </c>
      <c r="G28" t="s">
        <v>871</v>
      </c>
      <c r="H28" s="45">
        <v>1</v>
      </c>
    </row>
    <row r="29" spans="1:8" x14ac:dyDescent="0.2">
      <c r="A29" s="13">
        <v>28</v>
      </c>
      <c r="B29" s="13" t="s">
        <v>225</v>
      </c>
      <c r="C29" s="13" t="s">
        <v>226</v>
      </c>
      <c r="D29" s="13" t="s">
        <v>227</v>
      </c>
      <c r="F29" t="s">
        <v>757</v>
      </c>
      <c r="G29" t="s">
        <v>888</v>
      </c>
      <c r="H29" s="45">
        <v>1</v>
      </c>
    </row>
    <row r="30" spans="1:8" x14ac:dyDescent="0.2">
      <c r="A30" s="12">
        <v>29</v>
      </c>
      <c r="B30" s="12" t="s">
        <v>228</v>
      </c>
      <c r="C30" s="12" t="s">
        <v>226</v>
      </c>
      <c r="D30" s="12" t="s">
        <v>229</v>
      </c>
      <c r="F30" t="s">
        <v>757</v>
      </c>
      <c r="G30" t="s">
        <v>756</v>
      </c>
      <c r="H30" s="45">
        <v>1</v>
      </c>
    </row>
    <row r="31" spans="1:8" x14ac:dyDescent="0.2">
      <c r="A31" s="13">
        <v>30</v>
      </c>
      <c r="B31" s="13" t="s">
        <v>230</v>
      </c>
      <c r="C31" s="13" t="s">
        <v>226</v>
      </c>
      <c r="D31" s="13" t="s">
        <v>231</v>
      </c>
      <c r="F31" t="s">
        <v>757</v>
      </c>
      <c r="G31" t="s">
        <v>854</v>
      </c>
      <c r="H31" s="45">
        <v>1</v>
      </c>
    </row>
    <row r="32" spans="1:8" ht="25.5" x14ac:dyDescent="0.2">
      <c r="A32" s="12">
        <v>31</v>
      </c>
      <c r="B32" s="12" t="s">
        <v>232</v>
      </c>
      <c r="C32" s="12" t="s">
        <v>226</v>
      </c>
      <c r="D32" s="12" t="s">
        <v>233</v>
      </c>
      <c r="F32" t="s">
        <v>501</v>
      </c>
      <c r="G32" t="s">
        <v>500</v>
      </c>
      <c r="H32" s="45">
        <v>1</v>
      </c>
    </row>
    <row r="33" spans="1:8" ht="25.5" x14ac:dyDescent="0.2">
      <c r="A33" s="13">
        <v>32</v>
      </c>
      <c r="B33" s="13" t="s">
        <v>234</v>
      </c>
      <c r="C33" s="13" t="s">
        <v>226</v>
      </c>
      <c r="D33" s="13" t="s">
        <v>235</v>
      </c>
      <c r="F33" t="s">
        <v>655</v>
      </c>
      <c r="G33" t="s">
        <v>790</v>
      </c>
      <c r="H33" s="45">
        <v>1</v>
      </c>
    </row>
    <row r="34" spans="1:8" x14ac:dyDescent="0.2">
      <c r="A34" s="12">
        <v>33</v>
      </c>
      <c r="B34" s="12" t="s">
        <v>236</v>
      </c>
      <c r="C34" s="12" t="s">
        <v>226</v>
      </c>
      <c r="D34" s="12" t="s">
        <v>237</v>
      </c>
      <c r="F34" t="s">
        <v>655</v>
      </c>
      <c r="G34" t="s">
        <v>654</v>
      </c>
      <c r="H34" s="45">
        <v>1</v>
      </c>
    </row>
    <row r="35" spans="1:8" x14ac:dyDescent="0.2">
      <c r="A35" s="13">
        <v>34</v>
      </c>
      <c r="B35" s="13" t="s">
        <v>238</v>
      </c>
      <c r="C35" s="13" t="s">
        <v>239</v>
      </c>
      <c r="D35" s="13" t="s">
        <v>240</v>
      </c>
      <c r="F35" t="s">
        <v>882</v>
      </c>
      <c r="G35" t="s">
        <v>881</v>
      </c>
      <c r="H35" s="45">
        <v>1</v>
      </c>
    </row>
    <row r="36" spans="1:8" x14ac:dyDescent="0.2">
      <c r="A36" s="12">
        <v>35</v>
      </c>
      <c r="B36" s="12" t="s">
        <v>241</v>
      </c>
      <c r="C36" s="12" t="s">
        <v>239</v>
      </c>
      <c r="D36" s="12" t="s">
        <v>242</v>
      </c>
      <c r="F36" t="s">
        <v>585</v>
      </c>
      <c r="G36" t="s">
        <v>875</v>
      </c>
      <c r="H36" s="45">
        <v>1</v>
      </c>
    </row>
    <row r="37" spans="1:8" ht="25.5" x14ac:dyDescent="0.2">
      <c r="A37" s="13">
        <v>36</v>
      </c>
      <c r="B37" s="13" t="s">
        <v>243</v>
      </c>
      <c r="C37" s="13" t="s">
        <v>239</v>
      </c>
      <c r="D37" s="13" t="s">
        <v>244</v>
      </c>
      <c r="F37" t="s">
        <v>585</v>
      </c>
      <c r="G37" t="s">
        <v>727</v>
      </c>
      <c r="H37" s="45">
        <v>1</v>
      </c>
    </row>
    <row r="38" spans="1:8" x14ac:dyDescent="0.2">
      <c r="A38" s="12">
        <v>37</v>
      </c>
      <c r="B38" s="12" t="s">
        <v>245</v>
      </c>
      <c r="C38" s="12" t="s">
        <v>239</v>
      </c>
      <c r="D38" s="12" t="s">
        <v>246</v>
      </c>
      <c r="F38" t="s">
        <v>585</v>
      </c>
      <c r="G38" t="s">
        <v>856</v>
      </c>
      <c r="H38" s="45">
        <v>1</v>
      </c>
    </row>
    <row r="39" spans="1:8" x14ac:dyDescent="0.2">
      <c r="A39" s="13">
        <v>38</v>
      </c>
      <c r="B39" s="13" t="s">
        <v>247</v>
      </c>
      <c r="C39" s="13" t="s">
        <v>239</v>
      </c>
      <c r="D39" s="13" t="s">
        <v>248</v>
      </c>
      <c r="F39" t="s">
        <v>585</v>
      </c>
      <c r="G39" t="s">
        <v>778</v>
      </c>
      <c r="H39" s="45">
        <v>1</v>
      </c>
    </row>
    <row r="40" spans="1:8" x14ac:dyDescent="0.2">
      <c r="A40" s="12">
        <v>39</v>
      </c>
      <c r="B40" s="12" t="s">
        <v>249</v>
      </c>
      <c r="C40" s="12" t="s">
        <v>239</v>
      </c>
      <c r="D40" s="12" t="s">
        <v>250</v>
      </c>
      <c r="F40" t="s">
        <v>585</v>
      </c>
      <c r="G40" t="s">
        <v>769</v>
      </c>
      <c r="H40" s="45">
        <v>1</v>
      </c>
    </row>
    <row r="41" spans="1:8" x14ac:dyDescent="0.2">
      <c r="A41" s="13">
        <v>40</v>
      </c>
      <c r="B41" s="13" t="s">
        <v>251</v>
      </c>
      <c r="C41" s="13" t="s">
        <v>239</v>
      </c>
      <c r="D41" s="13" t="s">
        <v>252</v>
      </c>
      <c r="F41" t="s">
        <v>585</v>
      </c>
      <c r="G41" t="s">
        <v>587</v>
      </c>
      <c r="H41" s="45">
        <v>1</v>
      </c>
    </row>
    <row r="42" spans="1:8" x14ac:dyDescent="0.2">
      <c r="A42" s="12">
        <v>41</v>
      </c>
      <c r="B42" s="12" t="s">
        <v>253</v>
      </c>
      <c r="C42" s="12" t="s">
        <v>254</v>
      </c>
      <c r="D42" s="12" t="s">
        <v>255</v>
      </c>
      <c r="F42" t="s">
        <v>585</v>
      </c>
      <c r="G42" t="s">
        <v>595</v>
      </c>
      <c r="H42" s="45">
        <v>1</v>
      </c>
    </row>
    <row r="43" spans="1:8" x14ac:dyDescent="0.2">
      <c r="A43" s="13">
        <v>42</v>
      </c>
      <c r="B43" s="13" t="s">
        <v>256</v>
      </c>
      <c r="C43" s="13" t="s">
        <v>254</v>
      </c>
      <c r="D43" s="13" t="s">
        <v>257</v>
      </c>
      <c r="F43" t="s">
        <v>585</v>
      </c>
      <c r="G43" t="s">
        <v>838</v>
      </c>
      <c r="H43" s="45">
        <v>1</v>
      </c>
    </row>
    <row r="44" spans="1:8" x14ac:dyDescent="0.2">
      <c r="A44" s="12">
        <v>43</v>
      </c>
      <c r="B44" s="12" t="s">
        <v>258</v>
      </c>
      <c r="C44" s="12" t="s">
        <v>254</v>
      </c>
      <c r="D44" s="12" t="s">
        <v>259</v>
      </c>
      <c r="F44" t="s">
        <v>585</v>
      </c>
      <c r="G44" t="s">
        <v>613</v>
      </c>
      <c r="H44" s="45">
        <v>1</v>
      </c>
    </row>
    <row r="45" spans="1:8" x14ac:dyDescent="0.2">
      <c r="A45" s="13">
        <v>44</v>
      </c>
      <c r="B45" s="13" t="s">
        <v>260</v>
      </c>
      <c r="C45" s="13" t="s">
        <v>254</v>
      </c>
      <c r="D45" s="13" t="s">
        <v>261</v>
      </c>
      <c r="F45" t="s">
        <v>585</v>
      </c>
      <c r="G45" t="s">
        <v>597</v>
      </c>
      <c r="H45" s="45">
        <v>1</v>
      </c>
    </row>
    <row r="46" spans="1:8" x14ac:dyDescent="0.2">
      <c r="A46" s="12">
        <v>45</v>
      </c>
      <c r="B46" s="12" t="s">
        <v>262</v>
      </c>
      <c r="C46" s="12" t="s">
        <v>254</v>
      </c>
      <c r="D46" s="12" t="s">
        <v>263</v>
      </c>
      <c r="F46" t="s">
        <v>585</v>
      </c>
      <c r="G46" t="s">
        <v>877</v>
      </c>
      <c r="H46" s="45">
        <v>1</v>
      </c>
    </row>
    <row r="47" spans="1:8" x14ac:dyDescent="0.2">
      <c r="A47" s="13">
        <v>46</v>
      </c>
      <c r="B47" s="13" t="s">
        <v>264</v>
      </c>
      <c r="C47" s="13" t="s">
        <v>254</v>
      </c>
      <c r="D47" s="13" t="s">
        <v>265</v>
      </c>
      <c r="F47" t="s">
        <v>585</v>
      </c>
      <c r="G47" t="s">
        <v>599</v>
      </c>
      <c r="H47" s="45">
        <v>1</v>
      </c>
    </row>
    <row r="48" spans="1:8" x14ac:dyDescent="0.2">
      <c r="A48" s="12">
        <v>47</v>
      </c>
      <c r="B48" s="12" t="s">
        <v>266</v>
      </c>
      <c r="C48" s="12" t="s">
        <v>267</v>
      </c>
      <c r="D48" s="12" t="s">
        <v>268</v>
      </c>
      <c r="F48" t="s">
        <v>585</v>
      </c>
      <c r="G48" t="s">
        <v>811</v>
      </c>
      <c r="H48" s="45">
        <v>1</v>
      </c>
    </row>
    <row r="49" spans="1:8" x14ac:dyDescent="0.2">
      <c r="A49" s="13">
        <v>48</v>
      </c>
      <c r="B49" s="13" t="s">
        <v>269</v>
      </c>
      <c r="C49" s="13" t="s">
        <v>267</v>
      </c>
      <c r="D49" s="13" t="s">
        <v>270</v>
      </c>
      <c r="F49" t="s">
        <v>585</v>
      </c>
      <c r="G49" t="s">
        <v>884</v>
      </c>
      <c r="H49" s="45">
        <v>1</v>
      </c>
    </row>
    <row r="50" spans="1:8" x14ac:dyDescent="0.2">
      <c r="A50" s="12">
        <v>49</v>
      </c>
      <c r="B50" s="12" t="s">
        <v>271</v>
      </c>
      <c r="C50" s="12" t="s">
        <v>267</v>
      </c>
      <c r="D50" s="12" t="s">
        <v>272</v>
      </c>
      <c r="F50" t="s">
        <v>585</v>
      </c>
      <c r="G50" t="s">
        <v>617</v>
      </c>
      <c r="H50" s="45">
        <v>1</v>
      </c>
    </row>
    <row r="51" spans="1:8" x14ac:dyDescent="0.2">
      <c r="A51" s="13">
        <v>50</v>
      </c>
      <c r="B51" s="13" t="s">
        <v>273</v>
      </c>
      <c r="C51" s="13" t="s">
        <v>267</v>
      </c>
      <c r="D51" s="13" t="s">
        <v>274</v>
      </c>
      <c r="F51" t="s">
        <v>585</v>
      </c>
      <c r="G51" t="s">
        <v>615</v>
      </c>
      <c r="H51" s="45">
        <v>1</v>
      </c>
    </row>
    <row r="52" spans="1:8" x14ac:dyDescent="0.2">
      <c r="A52" s="12">
        <v>51</v>
      </c>
      <c r="B52" s="12" t="s">
        <v>275</v>
      </c>
      <c r="C52" s="12" t="s">
        <v>267</v>
      </c>
      <c r="D52" s="12" t="s">
        <v>276</v>
      </c>
      <c r="F52" t="s">
        <v>585</v>
      </c>
      <c r="G52" t="s">
        <v>844</v>
      </c>
      <c r="H52" s="45">
        <v>1</v>
      </c>
    </row>
    <row r="53" spans="1:8" x14ac:dyDescent="0.2">
      <c r="A53" s="13">
        <v>52</v>
      </c>
      <c r="B53" s="13" t="s">
        <v>277</v>
      </c>
      <c r="C53" s="13" t="s">
        <v>267</v>
      </c>
      <c r="D53" s="13" t="s">
        <v>26</v>
      </c>
      <c r="F53" t="s">
        <v>585</v>
      </c>
      <c r="G53" t="s">
        <v>850</v>
      </c>
      <c r="H53" s="45">
        <v>1</v>
      </c>
    </row>
    <row r="54" spans="1:8" x14ac:dyDescent="0.2">
      <c r="A54" s="12">
        <v>53</v>
      </c>
      <c r="B54" s="12" t="s">
        <v>278</v>
      </c>
      <c r="C54" s="12" t="s">
        <v>267</v>
      </c>
      <c r="D54" s="12" t="s">
        <v>279</v>
      </c>
      <c r="F54" t="s">
        <v>585</v>
      </c>
      <c r="G54" t="s">
        <v>589</v>
      </c>
      <c r="H54" s="45">
        <v>1</v>
      </c>
    </row>
    <row r="55" spans="1:8" x14ac:dyDescent="0.2">
      <c r="A55" s="13">
        <v>54</v>
      </c>
      <c r="B55" s="13" t="s">
        <v>280</v>
      </c>
      <c r="C55" s="13" t="s">
        <v>267</v>
      </c>
      <c r="D55" s="13" t="s">
        <v>281</v>
      </c>
      <c r="F55" t="s">
        <v>585</v>
      </c>
      <c r="G55" t="s">
        <v>858</v>
      </c>
      <c r="H55" s="45">
        <v>1</v>
      </c>
    </row>
    <row r="56" spans="1:8" x14ac:dyDescent="0.2">
      <c r="A56" s="12">
        <v>55</v>
      </c>
      <c r="B56" s="12" t="s">
        <v>282</v>
      </c>
      <c r="C56" s="12" t="s">
        <v>267</v>
      </c>
      <c r="D56" s="12" t="s">
        <v>283</v>
      </c>
      <c r="F56" t="s">
        <v>585</v>
      </c>
      <c r="G56" t="s">
        <v>860</v>
      </c>
      <c r="H56" s="45">
        <v>1</v>
      </c>
    </row>
    <row r="57" spans="1:8" x14ac:dyDescent="0.2">
      <c r="A57" s="13">
        <v>56</v>
      </c>
      <c r="B57" s="13" t="s">
        <v>284</v>
      </c>
      <c r="C57" s="13" t="s">
        <v>267</v>
      </c>
      <c r="D57" s="13" t="s">
        <v>285</v>
      </c>
      <c r="F57" t="s">
        <v>585</v>
      </c>
      <c r="G57" t="s">
        <v>754</v>
      </c>
      <c r="H57" s="45">
        <v>1</v>
      </c>
    </row>
    <row r="58" spans="1:8" x14ac:dyDescent="0.2">
      <c r="A58" s="12">
        <v>57</v>
      </c>
      <c r="B58" s="12" t="s">
        <v>286</v>
      </c>
      <c r="C58" s="12" t="s">
        <v>267</v>
      </c>
      <c r="D58" s="12" t="s">
        <v>287</v>
      </c>
      <c r="F58" t="s">
        <v>585</v>
      </c>
      <c r="G58" t="s">
        <v>886</v>
      </c>
      <c r="H58" s="45">
        <v>1</v>
      </c>
    </row>
    <row r="59" spans="1:8" x14ac:dyDescent="0.2">
      <c r="A59" s="13">
        <v>58</v>
      </c>
      <c r="B59" s="13" t="s">
        <v>288</v>
      </c>
      <c r="C59" s="13" t="s">
        <v>267</v>
      </c>
      <c r="D59" s="13" t="s">
        <v>289</v>
      </c>
      <c r="F59" t="s">
        <v>585</v>
      </c>
      <c r="G59" t="s">
        <v>619</v>
      </c>
      <c r="H59" s="45">
        <v>1</v>
      </c>
    </row>
    <row r="60" spans="1:8" x14ac:dyDescent="0.2">
      <c r="A60" s="12">
        <v>59</v>
      </c>
      <c r="B60" s="12" t="s">
        <v>290</v>
      </c>
      <c r="C60" s="12" t="s">
        <v>291</v>
      </c>
      <c r="D60" s="12" t="s">
        <v>292</v>
      </c>
      <c r="F60" t="s">
        <v>585</v>
      </c>
      <c r="G60" t="s">
        <v>591</v>
      </c>
      <c r="H60" s="45">
        <v>1</v>
      </c>
    </row>
    <row r="61" spans="1:8" x14ac:dyDescent="0.2">
      <c r="A61" s="13">
        <v>60</v>
      </c>
      <c r="B61" s="13" t="s">
        <v>293</v>
      </c>
      <c r="C61" s="13" t="s">
        <v>291</v>
      </c>
      <c r="D61" s="13" t="s">
        <v>294</v>
      </c>
      <c r="F61" t="s">
        <v>585</v>
      </c>
      <c r="G61" t="s">
        <v>593</v>
      </c>
      <c r="H61" s="45">
        <v>1</v>
      </c>
    </row>
    <row r="62" spans="1:8" x14ac:dyDescent="0.2">
      <c r="A62" s="12">
        <v>61</v>
      </c>
      <c r="B62" s="12" t="s">
        <v>295</v>
      </c>
      <c r="C62" s="12" t="s">
        <v>291</v>
      </c>
      <c r="D62" s="12" t="s">
        <v>296</v>
      </c>
      <c r="F62" t="s">
        <v>585</v>
      </c>
      <c r="G62" t="s">
        <v>752</v>
      </c>
      <c r="H62" s="45">
        <v>1</v>
      </c>
    </row>
    <row r="63" spans="1:8" x14ac:dyDescent="0.2">
      <c r="A63" s="13">
        <v>62</v>
      </c>
      <c r="B63" s="13" t="s">
        <v>297</v>
      </c>
      <c r="C63" s="13" t="s">
        <v>291</v>
      </c>
      <c r="D63" s="13" t="s">
        <v>298</v>
      </c>
      <c r="F63" t="s">
        <v>585</v>
      </c>
      <c r="G63" t="s">
        <v>621</v>
      </c>
      <c r="H63" s="45">
        <v>1</v>
      </c>
    </row>
    <row r="64" spans="1:8" x14ac:dyDescent="0.2">
      <c r="A64" s="12">
        <v>63</v>
      </c>
      <c r="B64" s="12" t="s">
        <v>299</v>
      </c>
      <c r="C64" s="12" t="s">
        <v>291</v>
      </c>
      <c r="D64" s="12" t="s">
        <v>300</v>
      </c>
      <c r="F64" t="s">
        <v>585</v>
      </c>
      <c r="G64" t="s">
        <v>603</v>
      </c>
      <c r="H64" s="45">
        <v>1</v>
      </c>
    </row>
    <row r="65" spans="1:8" x14ac:dyDescent="0.2">
      <c r="A65" s="13">
        <v>64</v>
      </c>
      <c r="B65" s="13" t="s">
        <v>301</v>
      </c>
      <c r="C65" s="13" t="s">
        <v>291</v>
      </c>
      <c r="D65" s="13" t="s">
        <v>302</v>
      </c>
      <c r="F65" t="s">
        <v>585</v>
      </c>
      <c r="G65" t="s">
        <v>601</v>
      </c>
      <c r="H65" s="45">
        <v>1</v>
      </c>
    </row>
    <row r="66" spans="1:8" x14ac:dyDescent="0.2">
      <c r="A66" s="12">
        <v>65</v>
      </c>
      <c r="B66" s="12" t="s">
        <v>303</v>
      </c>
      <c r="C66" s="12" t="s">
        <v>304</v>
      </c>
      <c r="D66" s="12" t="s">
        <v>305</v>
      </c>
      <c r="F66" t="s">
        <v>585</v>
      </c>
      <c r="G66" t="s">
        <v>609</v>
      </c>
      <c r="H66" s="45">
        <v>1</v>
      </c>
    </row>
    <row r="67" spans="1:8" x14ac:dyDescent="0.2">
      <c r="A67" s="13">
        <v>66</v>
      </c>
      <c r="B67" s="13" t="s">
        <v>306</v>
      </c>
      <c r="C67" s="13" t="s">
        <v>304</v>
      </c>
      <c r="D67" s="13" t="s">
        <v>307</v>
      </c>
      <c r="F67" t="s">
        <v>585</v>
      </c>
      <c r="G67" t="s">
        <v>607</v>
      </c>
      <c r="H67" s="45">
        <v>1</v>
      </c>
    </row>
    <row r="68" spans="1:8" x14ac:dyDescent="0.2">
      <c r="A68" s="12">
        <v>67</v>
      </c>
      <c r="B68" s="12" t="s">
        <v>308</v>
      </c>
      <c r="C68" s="12" t="s">
        <v>304</v>
      </c>
      <c r="D68" s="12" t="s">
        <v>309</v>
      </c>
      <c r="F68" t="s">
        <v>585</v>
      </c>
      <c r="G68" t="s">
        <v>818</v>
      </c>
      <c r="H68" s="45">
        <v>1</v>
      </c>
    </row>
    <row r="69" spans="1:8" x14ac:dyDescent="0.2">
      <c r="A69" s="13">
        <v>68</v>
      </c>
      <c r="B69" s="13" t="s">
        <v>310</v>
      </c>
      <c r="C69" s="13" t="s">
        <v>304</v>
      </c>
      <c r="D69" s="13" t="s">
        <v>311</v>
      </c>
      <c r="F69" t="s">
        <v>585</v>
      </c>
      <c r="G69" t="s">
        <v>605</v>
      </c>
      <c r="H69" s="45">
        <v>1</v>
      </c>
    </row>
    <row r="70" spans="1:8" ht="25.5" x14ac:dyDescent="0.2">
      <c r="A70" s="12">
        <v>69</v>
      </c>
      <c r="B70" s="12" t="s">
        <v>312</v>
      </c>
      <c r="C70" s="12" t="s">
        <v>304</v>
      </c>
      <c r="D70" s="12" t="s">
        <v>313</v>
      </c>
      <c r="F70" t="s">
        <v>585</v>
      </c>
      <c r="G70" t="s">
        <v>611</v>
      </c>
      <c r="H70" s="45">
        <v>1</v>
      </c>
    </row>
    <row r="71" spans="1:8" x14ac:dyDescent="0.2">
      <c r="A71" s="13">
        <v>70</v>
      </c>
      <c r="B71" s="13" t="s">
        <v>314</v>
      </c>
      <c r="C71" s="13" t="s">
        <v>304</v>
      </c>
      <c r="D71" s="13" t="s">
        <v>314</v>
      </c>
      <c r="F71" t="s">
        <v>585</v>
      </c>
      <c r="G71" t="s">
        <v>729</v>
      </c>
      <c r="H71" s="45">
        <v>1</v>
      </c>
    </row>
    <row r="72" spans="1:8" x14ac:dyDescent="0.2">
      <c r="A72" s="12">
        <v>71</v>
      </c>
      <c r="B72" s="12" t="s">
        <v>315</v>
      </c>
      <c r="C72" s="12" t="s">
        <v>304</v>
      </c>
      <c r="D72" s="12" t="s">
        <v>316</v>
      </c>
      <c r="F72" t="s">
        <v>585</v>
      </c>
      <c r="G72" t="s">
        <v>792</v>
      </c>
      <c r="H72" s="45">
        <v>1</v>
      </c>
    </row>
    <row r="73" spans="1:8" x14ac:dyDescent="0.2">
      <c r="A73" s="13">
        <v>72</v>
      </c>
      <c r="B73" s="13" t="s">
        <v>317</v>
      </c>
      <c r="C73" s="13" t="s">
        <v>304</v>
      </c>
      <c r="D73" s="13" t="s">
        <v>317</v>
      </c>
      <c r="F73" t="s">
        <v>585</v>
      </c>
      <c r="G73" t="s">
        <v>821</v>
      </c>
      <c r="H73" s="45">
        <v>1</v>
      </c>
    </row>
    <row r="74" spans="1:8" x14ac:dyDescent="0.2">
      <c r="A74" s="12">
        <v>73</v>
      </c>
      <c r="B74" s="12" t="s">
        <v>318</v>
      </c>
      <c r="C74" s="12" t="s">
        <v>304</v>
      </c>
      <c r="D74" s="12" t="s">
        <v>319</v>
      </c>
      <c r="F74" t="s">
        <v>585</v>
      </c>
      <c r="G74" t="s">
        <v>623</v>
      </c>
      <c r="H74" s="45">
        <v>1</v>
      </c>
    </row>
    <row r="75" spans="1:8" x14ac:dyDescent="0.2">
      <c r="A75" s="13">
        <v>74</v>
      </c>
      <c r="B75" s="13" t="s">
        <v>320</v>
      </c>
      <c r="C75" s="13" t="s">
        <v>304</v>
      </c>
      <c r="D75" s="13" t="s">
        <v>321</v>
      </c>
      <c r="F75" t="s">
        <v>585</v>
      </c>
      <c r="G75" t="s">
        <v>625</v>
      </c>
      <c r="H75" s="45">
        <v>1</v>
      </c>
    </row>
    <row r="76" spans="1:8" x14ac:dyDescent="0.2">
      <c r="A76" s="12">
        <v>75</v>
      </c>
      <c r="B76" s="12" t="s">
        <v>322</v>
      </c>
      <c r="C76" s="12" t="s">
        <v>304</v>
      </c>
      <c r="D76" s="12" t="s">
        <v>323</v>
      </c>
      <c r="F76" t="s">
        <v>585</v>
      </c>
      <c r="G76" t="s">
        <v>627</v>
      </c>
      <c r="H76" s="45">
        <v>1</v>
      </c>
    </row>
    <row r="77" spans="1:8" x14ac:dyDescent="0.2">
      <c r="A77" s="13">
        <v>76</v>
      </c>
      <c r="B77" s="13" t="s">
        <v>324</v>
      </c>
      <c r="C77" s="13" t="s">
        <v>325</v>
      </c>
      <c r="D77" s="13" t="s">
        <v>326</v>
      </c>
      <c r="F77" t="s">
        <v>585</v>
      </c>
      <c r="G77" t="s">
        <v>584</v>
      </c>
      <c r="H77" s="45">
        <v>1</v>
      </c>
    </row>
    <row r="78" spans="1:8" ht="25.5" x14ac:dyDescent="0.2">
      <c r="A78" s="12">
        <v>77</v>
      </c>
      <c r="B78" s="12" t="s">
        <v>327</v>
      </c>
      <c r="C78" s="12" t="s">
        <v>325</v>
      </c>
      <c r="D78" s="12" t="s">
        <v>328</v>
      </c>
      <c r="F78" t="s">
        <v>585</v>
      </c>
      <c r="G78" t="s">
        <v>629</v>
      </c>
      <c r="H78" s="45">
        <v>1</v>
      </c>
    </row>
    <row r="79" spans="1:8" x14ac:dyDescent="0.2">
      <c r="A79" s="13">
        <v>78</v>
      </c>
      <c r="B79" s="13" t="s">
        <v>329</v>
      </c>
      <c r="C79" s="13" t="s">
        <v>325</v>
      </c>
      <c r="D79" s="13" t="s">
        <v>330</v>
      </c>
      <c r="F79" t="s">
        <v>832</v>
      </c>
      <c r="G79" t="s">
        <v>831</v>
      </c>
      <c r="H79" s="45">
        <v>1</v>
      </c>
    </row>
    <row r="80" spans="1:8" x14ac:dyDescent="0.2">
      <c r="A80" s="12">
        <v>79</v>
      </c>
      <c r="B80" s="12" t="s">
        <v>331</v>
      </c>
      <c r="C80" s="12" t="s">
        <v>325</v>
      </c>
      <c r="D80" s="12" t="s">
        <v>332</v>
      </c>
      <c r="F80" t="s">
        <v>720</v>
      </c>
      <c r="G80" t="s">
        <v>719</v>
      </c>
      <c r="H80" s="45">
        <v>1</v>
      </c>
    </row>
    <row r="81" spans="1:8" x14ac:dyDescent="0.2">
      <c r="A81" s="13">
        <v>80</v>
      </c>
      <c r="B81" s="13" t="s">
        <v>333</v>
      </c>
      <c r="C81" s="13" t="s">
        <v>325</v>
      </c>
      <c r="D81" s="13" t="s">
        <v>334</v>
      </c>
      <c r="F81" t="s">
        <v>168</v>
      </c>
      <c r="G81" t="s">
        <v>714</v>
      </c>
      <c r="H81" s="45">
        <v>1</v>
      </c>
    </row>
    <row r="82" spans="1:8" x14ac:dyDescent="0.2">
      <c r="A82" s="12">
        <v>81</v>
      </c>
      <c r="B82" s="12" t="s">
        <v>335</v>
      </c>
      <c r="C82" s="12" t="s">
        <v>325</v>
      </c>
      <c r="D82" s="12" t="s">
        <v>336</v>
      </c>
      <c r="F82" t="s">
        <v>168</v>
      </c>
      <c r="G82" t="s">
        <v>712</v>
      </c>
      <c r="H82" s="45">
        <v>1</v>
      </c>
    </row>
    <row r="83" spans="1:8" x14ac:dyDescent="0.2">
      <c r="A83" s="13">
        <v>82</v>
      </c>
      <c r="B83" s="13" t="s">
        <v>337</v>
      </c>
      <c r="C83" s="13" t="s">
        <v>338</v>
      </c>
      <c r="D83" s="13" t="s">
        <v>339</v>
      </c>
      <c r="F83" t="s">
        <v>168</v>
      </c>
      <c r="G83" t="s">
        <v>446</v>
      </c>
      <c r="H83" s="45">
        <v>1</v>
      </c>
    </row>
    <row r="84" spans="1:8" x14ac:dyDescent="0.2">
      <c r="A84" s="12">
        <v>83</v>
      </c>
      <c r="B84" s="12" t="s">
        <v>340</v>
      </c>
      <c r="C84" s="12" t="s">
        <v>338</v>
      </c>
      <c r="D84" s="12" t="s">
        <v>341</v>
      </c>
      <c r="F84" t="s">
        <v>168</v>
      </c>
      <c r="G84" t="s">
        <v>167</v>
      </c>
      <c r="H84" s="45">
        <v>1</v>
      </c>
    </row>
    <row r="85" spans="1:8" x14ac:dyDescent="0.2">
      <c r="A85" s="13">
        <v>84</v>
      </c>
      <c r="B85" s="13" t="s">
        <v>342</v>
      </c>
      <c r="C85" s="13" t="s">
        <v>338</v>
      </c>
      <c r="D85" s="13" t="s">
        <v>343</v>
      </c>
      <c r="F85" t="s">
        <v>168</v>
      </c>
      <c r="G85" t="s">
        <v>823</v>
      </c>
      <c r="H85" s="45">
        <v>1</v>
      </c>
    </row>
    <row r="86" spans="1:8" x14ac:dyDescent="0.2">
      <c r="A86" s="12">
        <v>85</v>
      </c>
      <c r="B86" s="12" t="s">
        <v>344</v>
      </c>
      <c r="C86" s="12" t="s">
        <v>338</v>
      </c>
      <c r="D86" s="12" t="s">
        <v>345</v>
      </c>
      <c r="F86" t="s">
        <v>570</v>
      </c>
      <c r="G86" t="s">
        <v>809</v>
      </c>
      <c r="H86" s="45">
        <v>1</v>
      </c>
    </row>
    <row r="87" spans="1:8" x14ac:dyDescent="0.2">
      <c r="A87" s="13">
        <v>86</v>
      </c>
      <c r="B87" s="13" t="s">
        <v>346</v>
      </c>
      <c r="C87" s="13" t="s">
        <v>338</v>
      </c>
      <c r="D87" s="13" t="s">
        <v>347</v>
      </c>
      <c r="F87" t="s">
        <v>570</v>
      </c>
      <c r="G87" t="s">
        <v>569</v>
      </c>
      <c r="H87" s="45">
        <v>1</v>
      </c>
    </row>
    <row r="88" spans="1:8" x14ac:dyDescent="0.2">
      <c r="A88" s="12">
        <v>87</v>
      </c>
      <c r="B88" s="12" t="s">
        <v>348</v>
      </c>
      <c r="C88" s="12" t="s">
        <v>338</v>
      </c>
      <c r="D88" s="12" t="s">
        <v>349</v>
      </c>
      <c r="F88" t="s">
        <v>570</v>
      </c>
      <c r="G88" t="s">
        <v>741</v>
      </c>
      <c r="H88" s="45">
        <v>1</v>
      </c>
    </row>
    <row r="89" spans="1:8" x14ac:dyDescent="0.2">
      <c r="A89" s="13">
        <v>88</v>
      </c>
      <c r="B89" s="13" t="s">
        <v>350</v>
      </c>
      <c r="C89" s="13" t="s">
        <v>338</v>
      </c>
      <c r="D89" s="13" t="s">
        <v>351</v>
      </c>
      <c r="F89" t="s">
        <v>570</v>
      </c>
      <c r="G89" t="s">
        <v>743</v>
      </c>
      <c r="H89" s="45">
        <v>1</v>
      </c>
    </row>
    <row r="90" spans="1:8" x14ac:dyDescent="0.2">
      <c r="A90" s="12">
        <v>89</v>
      </c>
      <c r="B90" s="12" t="s">
        <v>352</v>
      </c>
      <c r="C90" s="12" t="s">
        <v>338</v>
      </c>
      <c r="D90" s="12" t="s">
        <v>353</v>
      </c>
      <c r="F90" t="s">
        <v>570</v>
      </c>
      <c r="G90" t="s">
        <v>739</v>
      </c>
      <c r="H90" s="45">
        <v>1</v>
      </c>
    </row>
    <row r="91" spans="1:8" x14ac:dyDescent="0.2">
      <c r="A91" s="13">
        <v>90</v>
      </c>
      <c r="B91" s="13" t="s">
        <v>354</v>
      </c>
      <c r="C91" s="13" t="s">
        <v>338</v>
      </c>
      <c r="D91" s="13" t="s">
        <v>355</v>
      </c>
      <c r="F91" t="s">
        <v>212</v>
      </c>
      <c r="G91" t="s">
        <v>211</v>
      </c>
      <c r="H91" s="45">
        <v>1</v>
      </c>
    </row>
    <row r="92" spans="1:8" ht="25.5" x14ac:dyDescent="0.2">
      <c r="A92" s="12">
        <v>91</v>
      </c>
      <c r="B92" s="12" t="s">
        <v>356</v>
      </c>
      <c r="C92" s="12" t="s">
        <v>338</v>
      </c>
      <c r="D92" s="12" t="s">
        <v>20</v>
      </c>
      <c r="F92" t="s">
        <v>212</v>
      </c>
      <c r="G92" t="s">
        <v>214</v>
      </c>
      <c r="H92" s="45">
        <v>1</v>
      </c>
    </row>
    <row r="93" spans="1:8" x14ac:dyDescent="0.2">
      <c r="A93" s="13">
        <v>92</v>
      </c>
      <c r="B93" s="13" t="s">
        <v>357</v>
      </c>
      <c r="C93" s="13" t="s">
        <v>338</v>
      </c>
      <c r="D93" s="13" t="s">
        <v>357</v>
      </c>
      <c r="F93" t="s">
        <v>212</v>
      </c>
      <c r="G93" t="s">
        <v>223</v>
      </c>
      <c r="H93" s="45">
        <v>1</v>
      </c>
    </row>
    <row r="94" spans="1:8" x14ac:dyDescent="0.2">
      <c r="A94" s="12">
        <v>93</v>
      </c>
      <c r="B94" s="12" t="s">
        <v>358</v>
      </c>
      <c r="C94" s="12" t="s">
        <v>338</v>
      </c>
      <c r="D94" s="12" t="s">
        <v>358</v>
      </c>
      <c r="F94" t="s">
        <v>212</v>
      </c>
      <c r="G94" t="s">
        <v>216</v>
      </c>
      <c r="H94" s="45">
        <v>1</v>
      </c>
    </row>
    <row r="95" spans="1:8" x14ac:dyDescent="0.2">
      <c r="A95" s="13">
        <v>94</v>
      </c>
      <c r="B95" s="13" t="s">
        <v>359</v>
      </c>
      <c r="C95" s="13" t="s">
        <v>360</v>
      </c>
      <c r="D95" s="13" t="s">
        <v>359</v>
      </c>
      <c r="F95" t="s">
        <v>212</v>
      </c>
      <c r="G95" t="s">
        <v>217</v>
      </c>
      <c r="H95" s="45">
        <v>1</v>
      </c>
    </row>
    <row r="96" spans="1:8" x14ac:dyDescent="0.2">
      <c r="A96" s="12">
        <v>95</v>
      </c>
      <c r="B96" s="12" t="s">
        <v>361</v>
      </c>
      <c r="C96" s="12" t="s">
        <v>362</v>
      </c>
      <c r="D96" s="12" t="s">
        <v>363</v>
      </c>
      <c r="F96" t="s">
        <v>212</v>
      </c>
      <c r="G96" t="s">
        <v>219</v>
      </c>
      <c r="H96" s="45">
        <v>1</v>
      </c>
    </row>
    <row r="97" spans="1:8" x14ac:dyDescent="0.2">
      <c r="A97" s="13">
        <v>96</v>
      </c>
      <c r="B97" s="13" t="s">
        <v>364</v>
      </c>
      <c r="C97" s="13" t="s">
        <v>18</v>
      </c>
      <c r="D97" s="13" t="s">
        <v>365</v>
      </c>
      <c r="F97" t="s">
        <v>212</v>
      </c>
      <c r="G97" t="s">
        <v>221</v>
      </c>
      <c r="H97" s="45">
        <v>1</v>
      </c>
    </row>
    <row r="98" spans="1:8" x14ac:dyDescent="0.2">
      <c r="A98" s="12">
        <v>97</v>
      </c>
      <c r="B98" s="12" t="s">
        <v>366</v>
      </c>
      <c r="C98" s="12" t="s">
        <v>18</v>
      </c>
      <c r="D98" s="12" t="s">
        <v>367</v>
      </c>
      <c r="F98" t="s">
        <v>212</v>
      </c>
      <c r="G98" t="s">
        <v>447</v>
      </c>
      <c r="H98" s="45">
        <v>1</v>
      </c>
    </row>
    <row r="99" spans="1:8" x14ac:dyDescent="0.2">
      <c r="A99" s="13">
        <v>98</v>
      </c>
      <c r="B99" s="13" t="s">
        <v>368</v>
      </c>
      <c r="C99" s="13" t="s">
        <v>18</v>
      </c>
      <c r="D99" s="13" t="s">
        <v>369</v>
      </c>
      <c r="F99" t="s">
        <v>226</v>
      </c>
      <c r="G99" t="s">
        <v>451</v>
      </c>
      <c r="H99" s="45">
        <v>1</v>
      </c>
    </row>
    <row r="100" spans="1:8" x14ac:dyDescent="0.2">
      <c r="A100" s="12">
        <v>99</v>
      </c>
      <c r="B100" s="12" t="s">
        <v>370</v>
      </c>
      <c r="C100" s="12" t="s">
        <v>18</v>
      </c>
      <c r="D100" s="12" t="s">
        <v>371</v>
      </c>
      <c r="F100" t="s">
        <v>226</v>
      </c>
      <c r="G100" t="s">
        <v>453</v>
      </c>
      <c r="H100" s="45">
        <v>1</v>
      </c>
    </row>
    <row r="101" spans="1:8" x14ac:dyDescent="0.2">
      <c r="A101" s="13">
        <v>100</v>
      </c>
      <c r="B101" s="13" t="s">
        <v>372</v>
      </c>
      <c r="C101" s="13" t="s">
        <v>373</v>
      </c>
      <c r="D101" s="13" t="s">
        <v>374</v>
      </c>
      <c r="F101" t="s">
        <v>226</v>
      </c>
      <c r="G101" t="s">
        <v>873</v>
      </c>
      <c r="H101" s="45">
        <v>1</v>
      </c>
    </row>
    <row r="102" spans="1:8" x14ac:dyDescent="0.2">
      <c r="A102" s="12">
        <v>101</v>
      </c>
      <c r="B102" s="12" t="s">
        <v>375</v>
      </c>
      <c r="C102" s="12" t="s">
        <v>373</v>
      </c>
      <c r="D102" s="12" t="s">
        <v>376</v>
      </c>
      <c r="F102" t="s">
        <v>226</v>
      </c>
      <c r="G102" t="s">
        <v>225</v>
      </c>
      <c r="H102" s="45">
        <v>1</v>
      </c>
    </row>
    <row r="103" spans="1:8" x14ac:dyDescent="0.2">
      <c r="A103" s="13">
        <v>102</v>
      </c>
      <c r="B103" s="13" t="s">
        <v>377</v>
      </c>
      <c r="C103" s="13" t="s">
        <v>373</v>
      </c>
      <c r="D103" s="13" t="s">
        <v>52</v>
      </c>
      <c r="F103" t="s">
        <v>226</v>
      </c>
      <c r="G103" t="s">
        <v>862</v>
      </c>
      <c r="H103" s="45">
        <v>1</v>
      </c>
    </row>
    <row r="104" spans="1:8" x14ac:dyDescent="0.2">
      <c r="A104" s="12">
        <v>103</v>
      </c>
      <c r="B104" s="12" t="s">
        <v>378</v>
      </c>
      <c r="C104" s="12" t="s">
        <v>373</v>
      </c>
      <c r="D104" s="12" t="s">
        <v>379</v>
      </c>
      <c r="F104" t="s">
        <v>226</v>
      </c>
      <c r="G104" t="s">
        <v>228</v>
      </c>
      <c r="H104" s="45">
        <v>1</v>
      </c>
    </row>
    <row r="105" spans="1:8" x14ac:dyDescent="0.2">
      <c r="A105" s="13">
        <v>104</v>
      </c>
      <c r="B105" s="13" t="s">
        <v>380</v>
      </c>
      <c r="C105" s="13" t="s">
        <v>373</v>
      </c>
      <c r="D105" s="13" t="s">
        <v>381</v>
      </c>
      <c r="F105" t="s">
        <v>226</v>
      </c>
      <c r="G105" t="s">
        <v>230</v>
      </c>
      <c r="H105" s="45">
        <v>1</v>
      </c>
    </row>
    <row r="106" spans="1:8" x14ac:dyDescent="0.2">
      <c r="A106" s="12">
        <v>105</v>
      </c>
      <c r="B106" s="12" t="s">
        <v>382</v>
      </c>
      <c r="C106" s="12" t="s">
        <v>373</v>
      </c>
      <c r="D106" s="12" t="s">
        <v>382</v>
      </c>
      <c r="F106" t="s">
        <v>226</v>
      </c>
      <c r="G106" t="s">
        <v>232</v>
      </c>
      <c r="H106" s="45">
        <v>1</v>
      </c>
    </row>
    <row r="107" spans="1:8" x14ac:dyDescent="0.2">
      <c r="A107" s="13">
        <v>106</v>
      </c>
      <c r="B107" s="13" t="s">
        <v>383</v>
      </c>
      <c r="C107" s="13" t="s">
        <v>373</v>
      </c>
      <c r="D107" s="13" t="s">
        <v>383</v>
      </c>
      <c r="F107" t="s">
        <v>226</v>
      </c>
      <c r="G107" t="s">
        <v>234</v>
      </c>
      <c r="H107" s="45">
        <v>1</v>
      </c>
    </row>
    <row r="108" spans="1:8" ht="25.5" x14ac:dyDescent="0.2">
      <c r="A108" s="12">
        <v>107</v>
      </c>
      <c r="B108" s="12" t="s">
        <v>384</v>
      </c>
      <c r="C108" s="12" t="s">
        <v>373</v>
      </c>
      <c r="D108" s="12" t="s">
        <v>385</v>
      </c>
      <c r="F108" t="s">
        <v>226</v>
      </c>
      <c r="G108" t="s">
        <v>236</v>
      </c>
      <c r="H108" s="45">
        <v>1</v>
      </c>
    </row>
    <row r="109" spans="1:8" x14ac:dyDescent="0.2">
      <c r="A109" s="13">
        <v>108</v>
      </c>
      <c r="B109" s="13" t="s">
        <v>386</v>
      </c>
      <c r="C109" s="13" t="s">
        <v>373</v>
      </c>
      <c r="D109" s="13" t="s">
        <v>387</v>
      </c>
      <c r="F109" t="s">
        <v>462</v>
      </c>
      <c r="G109" t="s">
        <v>813</v>
      </c>
      <c r="H109" s="45">
        <v>1</v>
      </c>
    </row>
    <row r="110" spans="1:8" ht="25.5" x14ac:dyDescent="0.2">
      <c r="A110" s="12">
        <v>109</v>
      </c>
      <c r="B110" s="12" t="s">
        <v>388</v>
      </c>
      <c r="C110" s="12" t="s">
        <v>373</v>
      </c>
      <c r="D110" s="12" t="s">
        <v>389</v>
      </c>
      <c r="F110" t="s">
        <v>462</v>
      </c>
      <c r="G110" t="s">
        <v>461</v>
      </c>
      <c r="H110" s="45">
        <v>1</v>
      </c>
    </row>
    <row r="111" spans="1:8" ht="25.5" x14ac:dyDescent="0.2">
      <c r="A111" s="13">
        <v>110</v>
      </c>
      <c r="B111" s="13" t="s">
        <v>390</v>
      </c>
      <c r="C111" s="13" t="s">
        <v>373</v>
      </c>
      <c r="D111" s="13" t="s">
        <v>391</v>
      </c>
      <c r="F111" t="s">
        <v>485</v>
      </c>
      <c r="G111" t="s">
        <v>484</v>
      </c>
      <c r="H111" s="45">
        <v>1</v>
      </c>
    </row>
    <row r="112" spans="1:8" x14ac:dyDescent="0.2">
      <c r="A112" s="12">
        <v>111</v>
      </c>
      <c r="B112" s="12" t="s">
        <v>392</v>
      </c>
      <c r="C112" s="12" t="s">
        <v>393</v>
      </c>
      <c r="D112" s="12" t="s">
        <v>394</v>
      </c>
      <c r="F112" t="s">
        <v>239</v>
      </c>
      <c r="G112" t="s">
        <v>238</v>
      </c>
      <c r="H112" s="45">
        <v>1</v>
      </c>
    </row>
    <row r="113" spans="1:8" ht="25.5" x14ac:dyDescent="0.2">
      <c r="A113" s="13">
        <v>112</v>
      </c>
      <c r="B113" s="13" t="s">
        <v>395</v>
      </c>
      <c r="C113" s="13" t="s">
        <v>393</v>
      </c>
      <c r="D113" s="13" t="s">
        <v>396</v>
      </c>
      <c r="F113" t="s">
        <v>239</v>
      </c>
      <c r="G113" t="s">
        <v>782</v>
      </c>
      <c r="H113" s="45">
        <v>1</v>
      </c>
    </row>
    <row r="114" spans="1:8" x14ac:dyDescent="0.2">
      <c r="A114" s="12">
        <v>113</v>
      </c>
      <c r="B114" s="12" t="s">
        <v>397</v>
      </c>
      <c r="C114" s="12" t="s">
        <v>393</v>
      </c>
      <c r="D114" s="12" t="s">
        <v>398</v>
      </c>
      <c r="F114" t="s">
        <v>239</v>
      </c>
      <c r="G114" t="s">
        <v>788</v>
      </c>
      <c r="H114" s="45">
        <v>1</v>
      </c>
    </row>
    <row r="115" spans="1:8" ht="25.5" x14ac:dyDescent="0.2">
      <c r="A115" s="13">
        <v>114</v>
      </c>
      <c r="B115" s="13" t="s">
        <v>399</v>
      </c>
      <c r="C115" s="13" t="s">
        <v>393</v>
      </c>
      <c r="D115" s="13" t="s">
        <v>400</v>
      </c>
      <c r="F115" t="s">
        <v>239</v>
      </c>
      <c r="G115" t="s">
        <v>241</v>
      </c>
      <c r="H115" s="45">
        <v>1</v>
      </c>
    </row>
    <row r="116" spans="1:8" x14ac:dyDescent="0.2">
      <c r="A116" s="12">
        <v>115</v>
      </c>
      <c r="B116" s="12" t="s">
        <v>401</v>
      </c>
      <c r="C116" s="12" t="s">
        <v>393</v>
      </c>
      <c r="D116" s="12" t="s">
        <v>402</v>
      </c>
      <c r="F116" t="s">
        <v>239</v>
      </c>
      <c r="G116" t="s">
        <v>245</v>
      </c>
      <c r="H116" s="45">
        <v>1</v>
      </c>
    </row>
    <row r="117" spans="1:8" x14ac:dyDescent="0.2">
      <c r="A117" s="13">
        <v>116</v>
      </c>
      <c r="B117" s="13" t="s">
        <v>403</v>
      </c>
      <c r="C117" s="13" t="s">
        <v>393</v>
      </c>
      <c r="D117" s="13" t="s">
        <v>404</v>
      </c>
      <c r="F117" t="s">
        <v>239</v>
      </c>
      <c r="G117" t="s">
        <v>243</v>
      </c>
      <c r="H117" s="45">
        <v>1</v>
      </c>
    </row>
    <row r="118" spans="1:8" x14ac:dyDescent="0.2">
      <c r="A118" s="12">
        <v>117</v>
      </c>
      <c r="B118" s="12" t="s">
        <v>405</v>
      </c>
      <c r="C118" s="12" t="s">
        <v>393</v>
      </c>
      <c r="D118" s="12" t="s">
        <v>406</v>
      </c>
      <c r="F118" t="s">
        <v>239</v>
      </c>
      <c r="G118" t="s">
        <v>780</v>
      </c>
      <c r="H118" s="45">
        <v>1</v>
      </c>
    </row>
    <row r="119" spans="1:8" x14ac:dyDescent="0.2">
      <c r="A119" s="13">
        <v>118</v>
      </c>
      <c r="B119" s="13" t="s">
        <v>407</v>
      </c>
      <c r="C119" s="13" t="s">
        <v>393</v>
      </c>
      <c r="D119" s="13" t="s">
        <v>408</v>
      </c>
      <c r="F119" t="s">
        <v>239</v>
      </c>
      <c r="G119" t="s">
        <v>725</v>
      </c>
      <c r="H119" s="45">
        <v>1</v>
      </c>
    </row>
    <row r="120" spans="1:8" x14ac:dyDescent="0.2">
      <c r="A120" s="12">
        <v>119</v>
      </c>
      <c r="B120" s="12" t="s">
        <v>409</v>
      </c>
      <c r="C120" s="12" t="s">
        <v>393</v>
      </c>
      <c r="D120" s="12" t="s">
        <v>410</v>
      </c>
      <c r="F120" t="s">
        <v>239</v>
      </c>
      <c r="G120" t="s">
        <v>464</v>
      </c>
      <c r="H120" s="45">
        <v>1</v>
      </c>
    </row>
    <row r="121" spans="1:8" x14ac:dyDescent="0.2">
      <c r="A121" s="13">
        <v>120</v>
      </c>
      <c r="B121" s="13" t="s">
        <v>411</v>
      </c>
      <c r="C121" s="13" t="s">
        <v>393</v>
      </c>
      <c r="D121" s="13" t="s">
        <v>412</v>
      </c>
      <c r="F121" t="s">
        <v>239</v>
      </c>
      <c r="G121" t="s">
        <v>773</v>
      </c>
      <c r="H121" s="45">
        <v>1</v>
      </c>
    </row>
    <row r="122" spans="1:8" x14ac:dyDescent="0.2">
      <c r="A122" s="12">
        <v>121</v>
      </c>
      <c r="B122" s="12" t="s">
        <v>413</v>
      </c>
      <c r="C122" s="12" t="s">
        <v>393</v>
      </c>
      <c r="D122" s="12" t="s">
        <v>414</v>
      </c>
      <c r="F122" t="s">
        <v>239</v>
      </c>
      <c r="G122" t="s">
        <v>247</v>
      </c>
      <c r="H122" s="45">
        <v>1</v>
      </c>
    </row>
    <row r="123" spans="1:8" x14ac:dyDescent="0.2">
      <c r="A123" s="13">
        <v>122</v>
      </c>
      <c r="B123" s="13" t="s">
        <v>415</v>
      </c>
      <c r="C123" s="13" t="s">
        <v>393</v>
      </c>
      <c r="D123" s="13" t="s">
        <v>416</v>
      </c>
      <c r="F123" t="s">
        <v>239</v>
      </c>
      <c r="G123" t="s">
        <v>771</v>
      </c>
      <c r="H123" s="45">
        <v>1</v>
      </c>
    </row>
    <row r="124" spans="1:8" x14ac:dyDescent="0.2">
      <c r="A124" s="12">
        <v>123</v>
      </c>
      <c r="B124" s="12" t="s">
        <v>417</v>
      </c>
      <c r="C124" s="12" t="s">
        <v>418</v>
      </c>
      <c r="D124" s="12" t="s">
        <v>419</v>
      </c>
      <c r="F124" t="s">
        <v>239</v>
      </c>
      <c r="G124" t="s">
        <v>765</v>
      </c>
      <c r="H124" s="45">
        <v>1</v>
      </c>
    </row>
    <row r="125" spans="1:8" x14ac:dyDescent="0.2">
      <c r="A125" s="13">
        <v>124</v>
      </c>
      <c r="B125" s="13" t="s">
        <v>420</v>
      </c>
      <c r="C125" s="13" t="s">
        <v>418</v>
      </c>
      <c r="D125" s="13" t="s">
        <v>421</v>
      </c>
      <c r="F125" t="s">
        <v>239</v>
      </c>
      <c r="G125" t="s">
        <v>827</v>
      </c>
      <c r="H125" s="45">
        <v>1</v>
      </c>
    </row>
    <row r="126" spans="1:8" x14ac:dyDescent="0.2">
      <c r="A126" s="12">
        <v>125</v>
      </c>
      <c r="B126" s="12" t="s">
        <v>422</v>
      </c>
      <c r="C126" s="12" t="s">
        <v>418</v>
      </c>
      <c r="D126" s="12" t="s">
        <v>423</v>
      </c>
      <c r="F126" t="s">
        <v>239</v>
      </c>
      <c r="G126" t="s">
        <v>763</v>
      </c>
      <c r="H126" s="45">
        <v>1</v>
      </c>
    </row>
    <row r="127" spans="1:8" x14ac:dyDescent="0.2">
      <c r="A127" s="13">
        <v>126</v>
      </c>
      <c r="B127" s="13" t="s">
        <v>424</v>
      </c>
      <c r="C127" s="13" t="s">
        <v>418</v>
      </c>
      <c r="D127" s="13" t="s">
        <v>425</v>
      </c>
      <c r="F127" t="s">
        <v>239</v>
      </c>
      <c r="G127" t="s">
        <v>249</v>
      </c>
      <c r="H127" s="45">
        <v>1</v>
      </c>
    </row>
    <row r="128" spans="1:8" x14ac:dyDescent="0.2">
      <c r="A128" s="12">
        <v>127</v>
      </c>
      <c r="B128" s="12" t="s">
        <v>426</v>
      </c>
      <c r="C128" s="12" t="s">
        <v>418</v>
      </c>
      <c r="D128" s="12" t="s">
        <v>427</v>
      </c>
      <c r="F128" t="s">
        <v>239</v>
      </c>
      <c r="G128" t="s">
        <v>251</v>
      </c>
      <c r="H128" s="45">
        <v>1</v>
      </c>
    </row>
    <row r="129" spans="1:8" x14ac:dyDescent="0.2">
      <c r="A129" s="13">
        <v>128</v>
      </c>
      <c r="B129" s="13" t="s">
        <v>428</v>
      </c>
      <c r="C129" s="13" t="s">
        <v>418</v>
      </c>
      <c r="D129" s="13" t="s">
        <v>429</v>
      </c>
      <c r="F129" t="s">
        <v>239</v>
      </c>
      <c r="G129" t="s">
        <v>466</v>
      </c>
      <c r="H129" s="45">
        <v>1</v>
      </c>
    </row>
    <row r="130" spans="1:8" x14ac:dyDescent="0.2">
      <c r="A130" s="12">
        <v>129</v>
      </c>
      <c r="B130" s="12" t="s">
        <v>430</v>
      </c>
      <c r="C130" s="12" t="s">
        <v>418</v>
      </c>
      <c r="D130" s="12" t="s">
        <v>431</v>
      </c>
      <c r="F130" t="s">
        <v>239</v>
      </c>
      <c r="G130" t="s">
        <v>468</v>
      </c>
      <c r="H130" s="45">
        <v>1</v>
      </c>
    </row>
    <row r="131" spans="1:8" x14ac:dyDescent="0.2">
      <c r="A131" s="13">
        <v>130</v>
      </c>
      <c r="B131" s="13" t="s">
        <v>432</v>
      </c>
      <c r="C131" s="13" t="s">
        <v>418</v>
      </c>
      <c r="D131" s="13" t="s">
        <v>433</v>
      </c>
      <c r="F131" t="s">
        <v>869</v>
      </c>
      <c r="G131" t="s">
        <v>868</v>
      </c>
      <c r="H131" s="45">
        <v>1</v>
      </c>
    </row>
    <row r="132" spans="1:8" x14ac:dyDescent="0.2">
      <c r="A132" s="12">
        <v>131</v>
      </c>
      <c r="B132" s="12" t="s">
        <v>434</v>
      </c>
      <c r="C132" s="12" t="s">
        <v>418</v>
      </c>
      <c r="D132" s="12" t="s">
        <v>435</v>
      </c>
      <c r="F132" t="s">
        <v>254</v>
      </c>
      <c r="G132" t="s">
        <v>253</v>
      </c>
      <c r="H132" s="45">
        <v>1</v>
      </c>
    </row>
    <row r="133" spans="1:8" x14ac:dyDescent="0.2">
      <c r="A133" s="13">
        <v>132</v>
      </c>
      <c r="B133" s="13" t="s">
        <v>436</v>
      </c>
      <c r="C133" s="13" t="s">
        <v>418</v>
      </c>
      <c r="D133" s="13" t="s">
        <v>437</v>
      </c>
      <c r="F133" t="s">
        <v>254</v>
      </c>
      <c r="G133" t="s">
        <v>262</v>
      </c>
      <c r="H133" s="45">
        <v>1</v>
      </c>
    </row>
    <row r="134" spans="1:8" x14ac:dyDescent="0.2">
      <c r="A134" s="12">
        <v>133</v>
      </c>
      <c r="B134" s="12" t="s">
        <v>438</v>
      </c>
      <c r="C134" s="12" t="s">
        <v>418</v>
      </c>
      <c r="D134" s="12" t="s">
        <v>439</v>
      </c>
      <c r="F134" t="s">
        <v>254</v>
      </c>
      <c r="G134" t="s">
        <v>256</v>
      </c>
      <c r="H134" s="45">
        <v>1</v>
      </c>
    </row>
    <row r="135" spans="1:8" x14ac:dyDescent="0.2">
      <c r="A135" s="13">
        <v>134</v>
      </c>
      <c r="B135" s="13" t="s">
        <v>440</v>
      </c>
      <c r="C135" s="13" t="s">
        <v>418</v>
      </c>
      <c r="D135" s="13" t="s">
        <v>441</v>
      </c>
      <c r="F135" t="s">
        <v>254</v>
      </c>
      <c r="G135" t="s">
        <v>258</v>
      </c>
      <c r="H135" s="45">
        <v>1</v>
      </c>
    </row>
    <row r="136" spans="1:8" x14ac:dyDescent="0.2">
      <c r="A136" s="12">
        <v>135</v>
      </c>
      <c r="B136" s="12" t="s">
        <v>442</v>
      </c>
      <c r="C136" s="12" t="s">
        <v>418</v>
      </c>
      <c r="D136" s="12" t="s">
        <v>443</v>
      </c>
      <c r="F136" t="s">
        <v>254</v>
      </c>
      <c r="G136" t="s">
        <v>264</v>
      </c>
      <c r="H136" s="45">
        <v>1</v>
      </c>
    </row>
    <row r="137" spans="1:8" x14ac:dyDescent="0.2">
      <c r="A137" s="13">
        <v>136</v>
      </c>
      <c r="B137" s="13" t="s">
        <v>444</v>
      </c>
      <c r="C137" s="13" t="s">
        <v>418</v>
      </c>
      <c r="D137" s="13" t="s">
        <v>445</v>
      </c>
      <c r="F137" t="s">
        <v>254</v>
      </c>
      <c r="G137" t="s">
        <v>260</v>
      </c>
      <c r="H137" s="45">
        <v>1</v>
      </c>
    </row>
    <row r="138" spans="1:8" x14ac:dyDescent="0.2">
      <c r="A138" s="12">
        <v>137</v>
      </c>
      <c r="B138" s="12" t="s">
        <v>446</v>
      </c>
      <c r="C138" s="12" t="s">
        <v>168</v>
      </c>
      <c r="D138" s="12" t="s">
        <v>363</v>
      </c>
      <c r="F138" t="s">
        <v>206</v>
      </c>
      <c r="G138" t="s">
        <v>205</v>
      </c>
      <c r="H138" s="45">
        <v>1</v>
      </c>
    </row>
    <row r="139" spans="1:8" x14ac:dyDescent="0.2">
      <c r="A139" s="13">
        <v>138</v>
      </c>
      <c r="B139" s="13" t="s">
        <v>447</v>
      </c>
      <c r="C139" s="13" t="s">
        <v>212</v>
      </c>
      <c r="D139" s="13" t="s">
        <v>448</v>
      </c>
      <c r="F139" t="s">
        <v>456</v>
      </c>
      <c r="G139" t="s">
        <v>455</v>
      </c>
      <c r="H139" s="45">
        <v>1</v>
      </c>
    </row>
    <row r="140" spans="1:8" ht="25.5" x14ac:dyDescent="0.2">
      <c r="A140" s="12">
        <v>139</v>
      </c>
      <c r="B140" s="12" t="s">
        <v>449</v>
      </c>
      <c r="C140" s="12" t="s">
        <v>171</v>
      </c>
      <c r="D140" s="12" t="s">
        <v>450</v>
      </c>
      <c r="F140" t="s">
        <v>776</v>
      </c>
      <c r="G140" t="s">
        <v>775</v>
      </c>
      <c r="H140" s="45">
        <v>1</v>
      </c>
    </row>
    <row r="141" spans="1:8" ht="25.5" x14ac:dyDescent="0.2">
      <c r="A141" s="13">
        <v>140</v>
      </c>
      <c r="B141" s="13" t="s">
        <v>451</v>
      </c>
      <c r="C141" s="13" t="s">
        <v>226</v>
      </c>
      <c r="D141" s="13" t="s">
        <v>452</v>
      </c>
      <c r="F141" t="s">
        <v>267</v>
      </c>
      <c r="G141" t="s">
        <v>284</v>
      </c>
      <c r="H141" s="45">
        <v>1</v>
      </c>
    </row>
    <row r="142" spans="1:8" ht="25.5" x14ac:dyDescent="0.2">
      <c r="A142" s="12">
        <v>141</v>
      </c>
      <c r="B142" s="12" t="s">
        <v>453</v>
      </c>
      <c r="C142" s="12" t="s">
        <v>226</v>
      </c>
      <c r="D142" s="12" t="s">
        <v>454</v>
      </c>
      <c r="F142" t="s">
        <v>267</v>
      </c>
      <c r="G142" t="s">
        <v>266</v>
      </c>
      <c r="H142" s="45">
        <v>1</v>
      </c>
    </row>
    <row r="143" spans="1:8" ht="25.5" x14ac:dyDescent="0.2">
      <c r="A143" s="13">
        <v>142</v>
      </c>
      <c r="B143" s="13" t="s">
        <v>455</v>
      </c>
      <c r="C143" s="13" t="s">
        <v>456</v>
      </c>
      <c r="D143" s="13" t="s">
        <v>457</v>
      </c>
      <c r="F143" t="s">
        <v>267</v>
      </c>
      <c r="G143" t="s">
        <v>286</v>
      </c>
      <c r="H143" s="45">
        <v>1</v>
      </c>
    </row>
    <row r="144" spans="1:8" ht="38.25" x14ac:dyDescent="0.2">
      <c r="A144" s="12">
        <v>143</v>
      </c>
      <c r="B144" s="12" t="s">
        <v>458</v>
      </c>
      <c r="C144" s="12" t="s">
        <v>459</v>
      </c>
      <c r="D144" s="12" t="s">
        <v>460</v>
      </c>
      <c r="F144" t="s">
        <v>267</v>
      </c>
      <c r="G144" t="s">
        <v>269</v>
      </c>
      <c r="H144" s="45">
        <v>1</v>
      </c>
    </row>
    <row r="145" spans="1:8" ht="25.5" x14ac:dyDescent="0.2">
      <c r="A145" s="13">
        <v>144</v>
      </c>
      <c r="B145" s="13" t="s">
        <v>461</v>
      </c>
      <c r="C145" s="13" t="s">
        <v>462</v>
      </c>
      <c r="D145" s="13" t="s">
        <v>463</v>
      </c>
      <c r="F145" t="s">
        <v>267</v>
      </c>
      <c r="G145" t="s">
        <v>271</v>
      </c>
      <c r="H145" s="45">
        <v>1</v>
      </c>
    </row>
    <row r="146" spans="1:8" x14ac:dyDescent="0.2">
      <c r="A146" s="12">
        <v>145</v>
      </c>
      <c r="B146" s="12" t="s">
        <v>464</v>
      </c>
      <c r="C146" s="12" t="s">
        <v>239</v>
      </c>
      <c r="D146" s="12" t="s">
        <v>465</v>
      </c>
      <c r="F146" t="s">
        <v>267</v>
      </c>
      <c r="G146" t="s">
        <v>278</v>
      </c>
      <c r="H146" s="45">
        <v>1</v>
      </c>
    </row>
    <row r="147" spans="1:8" ht="25.5" x14ac:dyDescent="0.2">
      <c r="A147" s="13">
        <v>146</v>
      </c>
      <c r="B147" s="13" t="s">
        <v>466</v>
      </c>
      <c r="C147" s="13" t="s">
        <v>239</v>
      </c>
      <c r="D147" s="13" t="s">
        <v>467</v>
      </c>
      <c r="F147" t="s">
        <v>267</v>
      </c>
      <c r="G147" t="s">
        <v>273</v>
      </c>
      <c r="H147" s="45">
        <v>1</v>
      </c>
    </row>
    <row r="148" spans="1:8" x14ac:dyDescent="0.2">
      <c r="A148" s="12">
        <v>147</v>
      </c>
      <c r="B148" s="12" t="s">
        <v>468</v>
      </c>
      <c r="C148" s="12" t="s">
        <v>239</v>
      </c>
      <c r="D148" s="12" t="s">
        <v>469</v>
      </c>
      <c r="F148" t="s">
        <v>267</v>
      </c>
      <c r="G148" t="s">
        <v>275</v>
      </c>
      <c r="H148" s="45">
        <v>1</v>
      </c>
    </row>
    <row r="149" spans="1:8" ht="25.5" x14ac:dyDescent="0.2">
      <c r="A149" s="13">
        <v>148</v>
      </c>
      <c r="B149" s="13" t="s">
        <v>470</v>
      </c>
      <c r="C149" s="13" t="s">
        <v>471</v>
      </c>
      <c r="D149" s="13" t="s">
        <v>472</v>
      </c>
      <c r="F149" t="s">
        <v>267</v>
      </c>
      <c r="G149" t="s">
        <v>277</v>
      </c>
      <c r="H149" s="45">
        <v>1</v>
      </c>
    </row>
    <row r="150" spans="1:8" x14ac:dyDescent="0.2">
      <c r="A150" s="12">
        <v>149</v>
      </c>
      <c r="B150" s="12" t="s">
        <v>473</v>
      </c>
      <c r="C150" s="12" t="s">
        <v>474</v>
      </c>
      <c r="D150" s="12" t="s">
        <v>475</v>
      </c>
      <c r="F150" t="s">
        <v>267</v>
      </c>
      <c r="G150" t="s">
        <v>282</v>
      </c>
      <c r="H150" s="45">
        <v>1</v>
      </c>
    </row>
    <row r="151" spans="1:8" ht="38.25" x14ac:dyDescent="0.2">
      <c r="A151" s="13">
        <v>150</v>
      </c>
      <c r="B151" s="13" t="s">
        <v>476</v>
      </c>
      <c r="C151" s="13" t="s">
        <v>474</v>
      </c>
      <c r="D151" s="13" t="s">
        <v>477</v>
      </c>
      <c r="F151" t="s">
        <v>267</v>
      </c>
      <c r="G151" t="s">
        <v>280</v>
      </c>
      <c r="H151" s="45">
        <v>1</v>
      </c>
    </row>
    <row r="152" spans="1:8" x14ac:dyDescent="0.2">
      <c r="A152" s="12">
        <v>151</v>
      </c>
      <c r="B152" s="12" t="s">
        <v>478</v>
      </c>
      <c r="C152" s="12" t="s">
        <v>291</v>
      </c>
      <c r="D152" s="12" t="s">
        <v>479</v>
      </c>
      <c r="F152" t="s">
        <v>267</v>
      </c>
      <c r="G152" t="s">
        <v>288</v>
      </c>
      <c r="H152" s="45">
        <v>1</v>
      </c>
    </row>
    <row r="153" spans="1:8" ht="25.5" x14ac:dyDescent="0.2">
      <c r="A153" s="13">
        <v>152</v>
      </c>
      <c r="B153" s="13" t="s">
        <v>480</v>
      </c>
      <c r="C153" s="13" t="s">
        <v>291</v>
      </c>
      <c r="D153" s="13" t="s">
        <v>481</v>
      </c>
      <c r="F153" t="s">
        <v>291</v>
      </c>
      <c r="G153" t="s">
        <v>478</v>
      </c>
      <c r="H153" s="45">
        <v>1</v>
      </c>
    </row>
    <row r="154" spans="1:8" ht="25.5" x14ac:dyDescent="0.2">
      <c r="A154" s="12">
        <v>153</v>
      </c>
      <c r="B154" s="12" t="s">
        <v>482</v>
      </c>
      <c r="C154" s="12" t="s">
        <v>291</v>
      </c>
      <c r="D154" s="12" t="s">
        <v>483</v>
      </c>
      <c r="F154" t="s">
        <v>291</v>
      </c>
      <c r="G154" t="s">
        <v>295</v>
      </c>
      <c r="H154" s="45">
        <v>1</v>
      </c>
    </row>
    <row r="155" spans="1:8" ht="25.5" x14ac:dyDescent="0.2">
      <c r="A155" s="13">
        <v>154</v>
      </c>
      <c r="B155" s="13" t="s">
        <v>484</v>
      </c>
      <c r="C155" s="13" t="s">
        <v>485</v>
      </c>
      <c r="D155" s="13" t="s">
        <v>486</v>
      </c>
      <c r="F155" t="s">
        <v>291</v>
      </c>
      <c r="G155" t="s">
        <v>301</v>
      </c>
      <c r="H155" s="45">
        <v>1</v>
      </c>
    </row>
    <row r="156" spans="1:8" x14ac:dyDescent="0.2">
      <c r="A156" s="12">
        <v>155</v>
      </c>
      <c r="B156" s="12" t="s">
        <v>487</v>
      </c>
      <c r="C156" s="12" t="s">
        <v>304</v>
      </c>
      <c r="D156" s="12" t="s">
        <v>488</v>
      </c>
      <c r="F156" t="s">
        <v>291</v>
      </c>
      <c r="G156" t="s">
        <v>290</v>
      </c>
      <c r="H156" s="45">
        <v>1</v>
      </c>
    </row>
    <row r="157" spans="1:8" x14ac:dyDescent="0.2">
      <c r="A157" s="13">
        <v>156</v>
      </c>
      <c r="B157" s="13" t="s">
        <v>489</v>
      </c>
      <c r="C157" s="13" t="s">
        <v>304</v>
      </c>
      <c r="D157" s="13" t="s">
        <v>490</v>
      </c>
      <c r="F157" t="s">
        <v>291</v>
      </c>
      <c r="G157" t="s">
        <v>293</v>
      </c>
      <c r="H157" s="45">
        <v>1</v>
      </c>
    </row>
    <row r="158" spans="1:8" x14ac:dyDescent="0.2">
      <c r="A158" s="12">
        <v>157</v>
      </c>
      <c r="B158" s="12" t="s">
        <v>491</v>
      </c>
      <c r="C158" s="12" t="s">
        <v>304</v>
      </c>
      <c r="D158" s="12" t="s">
        <v>492</v>
      </c>
      <c r="F158" t="s">
        <v>291</v>
      </c>
      <c r="G158" t="s">
        <v>480</v>
      </c>
      <c r="H158" s="45">
        <v>1</v>
      </c>
    </row>
    <row r="159" spans="1:8" ht="25.5" x14ac:dyDescent="0.2">
      <c r="A159" s="13">
        <v>158</v>
      </c>
      <c r="B159" s="13" t="s">
        <v>493</v>
      </c>
      <c r="C159" s="13" t="s">
        <v>494</v>
      </c>
      <c r="D159" s="13" t="s">
        <v>495</v>
      </c>
      <c r="F159" t="s">
        <v>291</v>
      </c>
      <c r="G159" t="s">
        <v>482</v>
      </c>
      <c r="H159" s="45">
        <v>1</v>
      </c>
    </row>
    <row r="160" spans="1:8" ht="25.5" x14ac:dyDescent="0.2">
      <c r="A160" s="12">
        <v>159</v>
      </c>
      <c r="B160" s="12" t="s">
        <v>496</v>
      </c>
      <c r="C160" s="12" t="s">
        <v>494</v>
      </c>
      <c r="D160" s="12" t="s">
        <v>497</v>
      </c>
      <c r="F160" t="s">
        <v>291</v>
      </c>
      <c r="G160" t="s">
        <v>299</v>
      </c>
      <c r="H160" s="45">
        <v>1</v>
      </c>
    </row>
    <row r="161" spans="1:8" ht="25.5" x14ac:dyDescent="0.2">
      <c r="A161" s="13">
        <v>160</v>
      </c>
      <c r="B161" s="13" t="s">
        <v>498</v>
      </c>
      <c r="C161" s="13" t="s">
        <v>494</v>
      </c>
      <c r="D161" s="13" t="s">
        <v>499</v>
      </c>
      <c r="F161" t="s">
        <v>291</v>
      </c>
      <c r="G161" t="s">
        <v>297</v>
      </c>
      <c r="H161" s="45">
        <v>1</v>
      </c>
    </row>
    <row r="162" spans="1:8" ht="25.5" x14ac:dyDescent="0.2">
      <c r="A162" s="12">
        <v>161</v>
      </c>
      <c r="B162" s="12" t="s">
        <v>500</v>
      </c>
      <c r="C162" s="12" t="s">
        <v>501</v>
      </c>
      <c r="D162" s="12" t="s">
        <v>502</v>
      </c>
      <c r="F162" t="s">
        <v>748</v>
      </c>
      <c r="G162" t="s">
        <v>747</v>
      </c>
      <c r="H162" s="45">
        <v>1</v>
      </c>
    </row>
    <row r="163" spans="1:8" x14ac:dyDescent="0.2">
      <c r="A163" s="13">
        <v>162</v>
      </c>
      <c r="B163" s="13" t="s">
        <v>503</v>
      </c>
      <c r="C163" s="13" t="s">
        <v>504</v>
      </c>
      <c r="D163" s="13" t="s">
        <v>505</v>
      </c>
      <c r="F163" t="s">
        <v>474</v>
      </c>
      <c r="G163" t="s">
        <v>473</v>
      </c>
      <c r="H163" s="45">
        <v>1</v>
      </c>
    </row>
    <row r="164" spans="1:8" x14ac:dyDescent="0.2">
      <c r="A164" s="12">
        <v>163</v>
      </c>
      <c r="B164" s="12" t="s">
        <v>506</v>
      </c>
      <c r="C164" s="12" t="s">
        <v>504</v>
      </c>
      <c r="D164" s="12" t="s">
        <v>507</v>
      </c>
      <c r="F164" t="s">
        <v>474</v>
      </c>
      <c r="G164" t="s">
        <v>476</v>
      </c>
      <c r="H164" s="45">
        <v>1</v>
      </c>
    </row>
    <row r="165" spans="1:8" x14ac:dyDescent="0.2">
      <c r="A165" s="13">
        <v>164</v>
      </c>
      <c r="B165" s="13" t="s">
        <v>508</v>
      </c>
      <c r="C165" s="13" t="s">
        <v>504</v>
      </c>
      <c r="D165" s="13" t="s">
        <v>509</v>
      </c>
      <c r="F165" t="s">
        <v>504</v>
      </c>
      <c r="G165" t="s">
        <v>503</v>
      </c>
      <c r="H165" s="45">
        <v>1</v>
      </c>
    </row>
    <row r="166" spans="1:8" x14ac:dyDescent="0.2">
      <c r="A166" s="12">
        <v>165</v>
      </c>
      <c r="B166" s="12" t="s">
        <v>510</v>
      </c>
      <c r="C166" s="12" t="s">
        <v>504</v>
      </c>
      <c r="D166" s="12" t="s">
        <v>511</v>
      </c>
      <c r="F166" t="s">
        <v>504</v>
      </c>
      <c r="G166" t="s">
        <v>800</v>
      </c>
      <c r="H166" s="45">
        <v>1</v>
      </c>
    </row>
    <row r="167" spans="1:8" ht="25.5" x14ac:dyDescent="0.2">
      <c r="A167" s="13">
        <v>166</v>
      </c>
      <c r="B167" s="13" t="s">
        <v>512</v>
      </c>
      <c r="C167" s="13" t="s">
        <v>513</v>
      </c>
      <c r="D167" s="13" t="s">
        <v>514</v>
      </c>
      <c r="F167" t="s">
        <v>504</v>
      </c>
      <c r="G167" t="s">
        <v>802</v>
      </c>
      <c r="H167" s="45">
        <v>1</v>
      </c>
    </row>
    <row r="168" spans="1:8" ht="25.5" x14ac:dyDescent="0.2">
      <c r="A168" s="12">
        <v>167</v>
      </c>
      <c r="B168" s="12" t="s">
        <v>515</v>
      </c>
      <c r="C168" s="12" t="s">
        <v>513</v>
      </c>
      <c r="D168" s="12" t="s">
        <v>516</v>
      </c>
      <c r="F168" t="s">
        <v>504</v>
      </c>
      <c r="G168" t="s">
        <v>834</v>
      </c>
      <c r="H168" s="45">
        <v>1</v>
      </c>
    </row>
    <row r="169" spans="1:8" x14ac:dyDescent="0.2">
      <c r="A169" s="13">
        <v>168</v>
      </c>
      <c r="B169" s="13" t="s">
        <v>517</v>
      </c>
      <c r="C169" s="13" t="s">
        <v>518</v>
      </c>
      <c r="D169" s="13" t="s">
        <v>519</v>
      </c>
      <c r="F169" t="s">
        <v>504</v>
      </c>
      <c r="G169" t="s">
        <v>761</v>
      </c>
      <c r="H169" s="45">
        <v>1</v>
      </c>
    </row>
    <row r="170" spans="1:8" x14ac:dyDescent="0.2">
      <c r="A170" s="12">
        <v>169</v>
      </c>
      <c r="B170" s="12" t="s">
        <v>520</v>
      </c>
      <c r="C170" s="12" t="s">
        <v>518</v>
      </c>
      <c r="D170" s="12" t="s">
        <v>521</v>
      </c>
      <c r="F170" t="s">
        <v>504</v>
      </c>
      <c r="G170" t="s">
        <v>506</v>
      </c>
      <c r="H170" s="45">
        <v>1</v>
      </c>
    </row>
    <row r="171" spans="1:8" x14ac:dyDescent="0.2">
      <c r="A171" s="13">
        <v>170</v>
      </c>
      <c r="B171" s="13" t="s">
        <v>522</v>
      </c>
      <c r="C171" s="13" t="s">
        <v>338</v>
      </c>
      <c r="D171" s="13" t="s">
        <v>106</v>
      </c>
      <c r="F171" t="s">
        <v>504</v>
      </c>
      <c r="G171" t="s">
        <v>508</v>
      </c>
      <c r="H171" s="45">
        <v>1</v>
      </c>
    </row>
    <row r="172" spans="1:8" x14ac:dyDescent="0.2">
      <c r="A172" s="12">
        <v>171</v>
      </c>
      <c r="B172" s="12" t="s">
        <v>523</v>
      </c>
      <c r="C172" s="12" t="s">
        <v>338</v>
      </c>
      <c r="D172" s="12" t="s">
        <v>524</v>
      </c>
      <c r="F172" t="s">
        <v>504</v>
      </c>
      <c r="G172" t="s">
        <v>510</v>
      </c>
      <c r="H172" s="45">
        <v>1</v>
      </c>
    </row>
    <row r="173" spans="1:8" x14ac:dyDescent="0.2">
      <c r="A173" s="13">
        <v>172</v>
      </c>
      <c r="B173" s="13" t="s">
        <v>525</v>
      </c>
      <c r="C173" s="13" t="s">
        <v>526</v>
      </c>
      <c r="D173" s="13" t="s">
        <v>527</v>
      </c>
      <c r="F173" t="s">
        <v>504</v>
      </c>
      <c r="G173" t="s">
        <v>840</v>
      </c>
      <c r="H173" s="45">
        <v>1</v>
      </c>
    </row>
    <row r="174" spans="1:8" x14ac:dyDescent="0.2">
      <c r="A174" s="12">
        <v>173</v>
      </c>
      <c r="B174" s="12" t="s">
        <v>528</v>
      </c>
      <c r="C174" s="12" t="s">
        <v>526</v>
      </c>
      <c r="D174" s="12" t="s">
        <v>529</v>
      </c>
      <c r="F174" t="s">
        <v>304</v>
      </c>
      <c r="G174" t="s">
        <v>320</v>
      </c>
      <c r="H174" s="45">
        <v>1</v>
      </c>
    </row>
    <row r="175" spans="1:8" x14ac:dyDescent="0.2">
      <c r="A175" s="13">
        <v>174</v>
      </c>
      <c r="B175" s="13" t="s">
        <v>530</v>
      </c>
      <c r="C175" s="13" t="s">
        <v>526</v>
      </c>
      <c r="D175" s="13" t="s">
        <v>531</v>
      </c>
      <c r="F175" t="s">
        <v>304</v>
      </c>
      <c r="G175" t="s">
        <v>318</v>
      </c>
      <c r="H175" s="45">
        <v>1</v>
      </c>
    </row>
    <row r="176" spans="1:8" x14ac:dyDescent="0.2">
      <c r="A176" s="12">
        <v>175</v>
      </c>
      <c r="B176" s="12" t="s">
        <v>532</v>
      </c>
      <c r="C176" s="12" t="s">
        <v>526</v>
      </c>
      <c r="D176" s="12" t="s">
        <v>533</v>
      </c>
      <c r="F176" t="s">
        <v>304</v>
      </c>
      <c r="G176" t="s">
        <v>317</v>
      </c>
      <c r="H176" s="45">
        <v>1</v>
      </c>
    </row>
    <row r="177" spans="1:8" x14ac:dyDescent="0.2">
      <c r="A177" s="13">
        <v>176</v>
      </c>
      <c r="B177" s="13" t="s">
        <v>534</v>
      </c>
      <c r="C177" s="13" t="s">
        <v>535</v>
      </c>
      <c r="D177" s="13" t="s">
        <v>534</v>
      </c>
      <c r="F177" t="s">
        <v>304</v>
      </c>
      <c r="G177" t="s">
        <v>303</v>
      </c>
      <c r="H177" s="45">
        <v>1</v>
      </c>
    </row>
    <row r="178" spans="1:8" x14ac:dyDescent="0.2">
      <c r="A178" s="12">
        <v>177</v>
      </c>
      <c r="B178" s="12" t="s">
        <v>536</v>
      </c>
      <c r="C178" s="12" t="s">
        <v>537</v>
      </c>
      <c r="D178" s="12" t="s">
        <v>538</v>
      </c>
      <c r="F178" t="s">
        <v>304</v>
      </c>
      <c r="G178" t="s">
        <v>306</v>
      </c>
      <c r="H178" s="45">
        <v>1</v>
      </c>
    </row>
    <row r="179" spans="1:8" x14ac:dyDescent="0.2">
      <c r="A179" s="13">
        <v>178</v>
      </c>
      <c r="B179" s="13" t="s">
        <v>539</v>
      </c>
      <c r="C179" s="13" t="s">
        <v>540</v>
      </c>
      <c r="D179" s="13" t="s">
        <v>541</v>
      </c>
      <c r="F179" t="s">
        <v>304</v>
      </c>
      <c r="G179" t="s">
        <v>315</v>
      </c>
      <c r="H179" s="45">
        <v>1</v>
      </c>
    </row>
    <row r="180" spans="1:8" x14ac:dyDescent="0.2">
      <c r="A180" s="12">
        <v>179</v>
      </c>
      <c r="B180" s="12" t="s">
        <v>542</v>
      </c>
      <c r="C180" s="12" t="s">
        <v>540</v>
      </c>
      <c r="D180" s="12" t="s">
        <v>543</v>
      </c>
      <c r="F180" t="s">
        <v>304</v>
      </c>
      <c r="G180" t="s">
        <v>310</v>
      </c>
      <c r="H180" s="45">
        <v>1</v>
      </c>
    </row>
    <row r="181" spans="1:8" x14ac:dyDescent="0.2">
      <c r="A181" s="13">
        <v>180</v>
      </c>
      <c r="B181" s="13" t="s">
        <v>544</v>
      </c>
      <c r="C181" s="13" t="s">
        <v>540</v>
      </c>
      <c r="D181" s="13" t="s">
        <v>545</v>
      </c>
      <c r="F181" t="s">
        <v>304</v>
      </c>
      <c r="G181" t="s">
        <v>491</v>
      </c>
      <c r="H181" s="45">
        <v>1</v>
      </c>
    </row>
    <row r="182" spans="1:8" x14ac:dyDescent="0.2">
      <c r="A182" s="12">
        <v>181</v>
      </c>
      <c r="B182" s="12" t="s">
        <v>546</v>
      </c>
      <c r="C182" s="12" t="s">
        <v>373</v>
      </c>
      <c r="D182" s="12" t="s">
        <v>547</v>
      </c>
      <c r="F182" t="s">
        <v>304</v>
      </c>
      <c r="G182" t="s">
        <v>308</v>
      </c>
      <c r="H182" s="45">
        <v>1</v>
      </c>
    </row>
    <row r="183" spans="1:8" x14ac:dyDescent="0.2">
      <c r="A183" s="13">
        <v>182</v>
      </c>
      <c r="B183" s="13" t="s">
        <v>548</v>
      </c>
      <c r="C183" s="13" t="s">
        <v>373</v>
      </c>
      <c r="D183" s="13" t="s">
        <v>549</v>
      </c>
      <c r="F183" t="s">
        <v>304</v>
      </c>
      <c r="G183" t="s">
        <v>487</v>
      </c>
      <c r="H183" s="45">
        <v>1</v>
      </c>
    </row>
    <row r="184" spans="1:8" x14ac:dyDescent="0.2">
      <c r="A184" s="12">
        <v>183</v>
      </c>
      <c r="B184" s="12" t="s">
        <v>550</v>
      </c>
      <c r="C184" s="12" t="s">
        <v>373</v>
      </c>
      <c r="D184" s="12" t="s">
        <v>551</v>
      </c>
      <c r="F184" t="s">
        <v>304</v>
      </c>
      <c r="G184" t="s">
        <v>489</v>
      </c>
      <c r="H184" s="45">
        <v>1</v>
      </c>
    </row>
    <row r="185" spans="1:8" x14ac:dyDescent="0.2">
      <c r="A185" s="13">
        <v>184</v>
      </c>
      <c r="B185" s="13" t="s">
        <v>552</v>
      </c>
      <c r="C185" s="13" t="s">
        <v>393</v>
      </c>
      <c r="D185" s="13" t="s">
        <v>553</v>
      </c>
      <c r="F185" t="s">
        <v>304</v>
      </c>
      <c r="G185" t="s">
        <v>312</v>
      </c>
      <c r="H185" s="45">
        <v>1</v>
      </c>
    </row>
    <row r="186" spans="1:8" x14ac:dyDescent="0.2">
      <c r="A186" s="12">
        <v>185</v>
      </c>
      <c r="B186" s="12" t="s">
        <v>554</v>
      </c>
      <c r="C186" s="12" t="s">
        <v>393</v>
      </c>
      <c r="D186" s="12" t="s">
        <v>555</v>
      </c>
      <c r="F186" t="s">
        <v>304</v>
      </c>
      <c r="G186" t="s">
        <v>322</v>
      </c>
      <c r="H186" s="45">
        <v>1</v>
      </c>
    </row>
    <row r="187" spans="1:8" x14ac:dyDescent="0.2">
      <c r="A187" s="13">
        <v>186</v>
      </c>
      <c r="B187" s="13" t="s">
        <v>556</v>
      </c>
      <c r="C187" s="13" t="s">
        <v>557</v>
      </c>
      <c r="D187" s="13" t="s">
        <v>558</v>
      </c>
      <c r="F187" t="s">
        <v>304</v>
      </c>
      <c r="G187" t="s">
        <v>314</v>
      </c>
      <c r="H187" s="45">
        <v>1</v>
      </c>
    </row>
    <row r="188" spans="1:8" x14ac:dyDescent="0.2">
      <c r="A188" s="12">
        <v>187</v>
      </c>
      <c r="B188" s="12" t="s">
        <v>559</v>
      </c>
      <c r="C188" s="12" t="s">
        <v>418</v>
      </c>
      <c r="D188" s="12" t="s">
        <v>560</v>
      </c>
      <c r="F188" t="s">
        <v>471</v>
      </c>
      <c r="G188" t="s">
        <v>470</v>
      </c>
      <c r="H188" s="45">
        <v>1</v>
      </c>
    </row>
    <row r="189" spans="1:8" x14ac:dyDescent="0.2">
      <c r="A189" s="13">
        <v>188</v>
      </c>
      <c r="B189" s="13" t="s">
        <v>561</v>
      </c>
      <c r="C189" s="13" t="s">
        <v>418</v>
      </c>
      <c r="D189" s="13" t="s">
        <v>562</v>
      </c>
      <c r="F189" t="s">
        <v>737</v>
      </c>
      <c r="G189" t="s">
        <v>736</v>
      </c>
      <c r="H189" s="45">
        <v>1</v>
      </c>
    </row>
    <row r="190" spans="1:8" ht="25.5" x14ac:dyDescent="0.2">
      <c r="A190" s="12">
        <v>189</v>
      </c>
      <c r="B190" s="12" t="s">
        <v>563</v>
      </c>
      <c r="C190" s="12" t="s">
        <v>418</v>
      </c>
      <c r="D190" s="12" t="s">
        <v>564</v>
      </c>
      <c r="F190" t="s">
        <v>751</v>
      </c>
      <c r="G190" t="s">
        <v>750</v>
      </c>
      <c r="H190" s="45">
        <v>1</v>
      </c>
    </row>
    <row r="191" spans="1:8" x14ac:dyDescent="0.2">
      <c r="A191" s="13">
        <v>190</v>
      </c>
      <c r="B191" s="13" t="s">
        <v>565</v>
      </c>
      <c r="C191" s="13" t="s">
        <v>418</v>
      </c>
      <c r="D191" s="13" t="s">
        <v>566</v>
      </c>
      <c r="F191" t="s">
        <v>664</v>
      </c>
      <c r="G191" t="s">
        <v>670</v>
      </c>
      <c r="H191" s="45">
        <v>1</v>
      </c>
    </row>
    <row r="192" spans="1:8" x14ac:dyDescent="0.2">
      <c r="A192" s="12">
        <v>191</v>
      </c>
      <c r="B192" s="12" t="s">
        <v>567</v>
      </c>
      <c r="C192" s="12" t="s">
        <v>418</v>
      </c>
      <c r="D192" s="12" t="s">
        <v>568</v>
      </c>
      <c r="F192" t="s">
        <v>664</v>
      </c>
      <c r="G192" t="s">
        <v>672</v>
      </c>
      <c r="H192" s="45">
        <v>1</v>
      </c>
    </row>
    <row r="193" spans="1:8" ht="25.5" x14ac:dyDescent="0.2">
      <c r="A193" s="13">
        <v>192</v>
      </c>
      <c r="B193" s="13" t="s">
        <v>569</v>
      </c>
      <c r="C193" s="13" t="s">
        <v>570</v>
      </c>
      <c r="D193" s="13" t="s">
        <v>571</v>
      </c>
      <c r="F193" t="s">
        <v>664</v>
      </c>
      <c r="G193" t="s">
        <v>674</v>
      </c>
      <c r="H193" s="45">
        <v>1</v>
      </c>
    </row>
    <row r="194" spans="1:8" x14ac:dyDescent="0.2">
      <c r="A194" s="12">
        <v>193</v>
      </c>
      <c r="B194" s="12" t="s">
        <v>572</v>
      </c>
      <c r="C194" s="12" t="s">
        <v>573</v>
      </c>
      <c r="D194" s="12" t="s">
        <v>574</v>
      </c>
      <c r="F194" t="s">
        <v>664</v>
      </c>
      <c r="G194" t="s">
        <v>678</v>
      </c>
      <c r="H194" s="45">
        <v>1</v>
      </c>
    </row>
    <row r="195" spans="1:8" x14ac:dyDescent="0.2">
      <c r="A195" s="13">
        <v>194</v>
      </c>
      <c r="B195" s="13" t="s">
        <v>575</v>
      </c>
      <c r="C195" s="13" t="s">
        <v>576</v>
      </c>
      <c r="D195" s="13" t="s">
        <v>577</v>
      </c>
      <c r="F195" t="s">
        <v>664</v>
      </c>
      <c r="G195" t="s">
        <v>676</v>
      </c>
      <c r="H195" s="45">
        <v>1</v>
      </c>
    </row>
    <row r="196" spans="1:8" ht="25.5" x14ac:dyDescent="0.2">
      <c r="A196" s="12">
        <v>195</v>
      </c>
      <c r="B196" s="12" t="s">
        <v>578</v>
      </c>
      <c r="C196" s="12" t="s">
        <v>579</v>
      </c>
      <c r="D196" s="12" t="s">
        <v>580</v>
      </c>
      <c r="F196" t="s">
        <v>664</v>
      </c>
      <c r="G196" t="s">
        <v>784</v>
      </c>
      <c r="H196" s="45">
        <v>1</v>
      </c>
    </row>
    <row r="197" spans="1:8" ht="25.5" x14ac:dyDescent="0.2">
      <c r="A197" s="13">
        <v>196</v>
      </c>
      <c r="B197" s="13" t="s">
        <v>581</v>
      </c>
      <c r="C197" s="13" t="s">
        <v>582</v>
      </c>
      <c r="D197" s="13" t="s">
        <v>583</v>
      </c>
      <c r="F197" t="s">
        <v>664</v>
      </c>
      <c r="G197" t="s">
        <v>786</v>
      </c>
      <c r="H197" s="45">
        <v>1</v>
      </c>
    </row>
    <row r="198" spans="1:8" x14ac:dyDescent="0.2">
      <c r="A198" s="12">
        <v>197</v>
      </c>
      <c r="B198" s="12" t="s">
        <v>584</v>
      </c>
      <c r="C198" s="12" t="s">
        <v>585</v>
      </c>
      <c r="D198" s="12" t="s">
        <v>586</v>
      </c>
      <c r="F198" t="s">
        <v>664</v>
      </c>
      <c r="G198" t="s">
        <v>680</v>
      </c>
      <c r="H198" s="45">
        <v>1</v>
      </c>
    </row>
    <row r="199" spans="1:8" ht="25.5" x14ac:dyDescent="0.2">
      <c r="A199" s="13">
        <v>198</v>
      </c>
      <c r="B199" s="13" t="s">
        <v>587</v>
      </c>
      <c r="C199" s="13" t="s">
        <v>585</v>
      </c>
      <c r="D199" s="13" t="s">
        <v>588</v>
      </c>
      <c r="F199" t="s">
        <v>664</v>
      </c>
      <c r="G199" t="s">
        <v>682</v>
      </c>
      <c r="H199" s="45">
        <v>1</v>
      </c>
    </row>
    <row r="200" spans="1:8" x14ac:dyDescent="0.2">
      <c r="A200" s="12">
        <v>199</v>
      </c>
      <c r="B200" s="12" t="s">
        <v>589</v>
      </c>
      <c r="C200" s="12" t="s">
        <v>585</v>
      </c>
      <c r="D200" s="12" t="s">
        <v>590</v>
      </c>
      <c r="F200" t="s">
        <v>664</v>
      </c>
      <c r="G200" t="s">
        <v>684</v>
      </c>
      <c r="H200" s="45">
        <v>1</v>
      </c>
    </row>
    <row r="201" spans="1:8" ht="25.5" x14ac:dyDescent="0.2">
      <c r="A201" s="13">
        <v>200</v>
      </c>
      <c r="B201" s="13" t="s">
        <v>591</v>
      </c>
      <c r="C201" s="13" t="s">
        <v>585</v>
      </c>
      <c r="D201" s="13" t="s">
        <v>592</v>
      </c>
      <c r="F201" t="s">
        <v>664</v>
      </c>
      <c r="G201" t="s">
        <v>690</v>
      </c>
      <c r="H201" s="45">
        <v>1</v>
      </c>
    </row>
    <row r="202" spans="1:8" x14ac:dyDescent="0.2">
      <c r="A202" s="12">
        <v>201</v>
      </c>
      <c r="B202" s="12" t="s">
        <v>593</v>
      </c>
      <c r="C202" s="12" t="s">
        <v>585</v>
      </c>
      <c r="D202" s="12" t="s">
        <v>594</v>
      </c>
      <c r="F202" t="s">
        <v>664</v>
      </c>
      <c r="G202" t="s">
        <v>692</v>
      </c>
      <c r="H202" s="45">
        <v>1</v>
      </c>
    </row>
    <row r="203" spans="1:8" x14ac:dyDescent="0.2">
      <c r="A203" s="13">
        <v>202</v>
      </c>
      <c r="B203" s="13" t="s">
        <v>595</v>
      </c>
      <c r="C203" s="13" t="s">
        <v>585</v>
      </c>
      <c r="D203" s="13" t="s">
        <v>596</v>
      </c>
      <c r="F203" t="s">
        <v>664</v>
      </c>
      <c r="G203" t="s">
        <v>694</v>
      </c>
      <c r="H203" s="45">
        <v>1</v>
      </c>
    </row>
    <row r="204" spans="1:8" ht="25.5" x14ac:dyDescent="0.2">
      <c r="A204" s="12">
        <v>203</v>
      </c>
      <c r="B204" s="12" t="s">
        <v>597</v>
      </c>
      <c r="C204" s="12" t="s">
        <v>585</v>
      </c>
      <c r="D204" s="12" t="s">
        <v>598</v>
      </c>
      <c r="F204" t="s">
        <v>664</v>
      </c>
      <c r="G204" t="s">
        <v>696</v>
      </c>
      <c r="H204" s="45">
        <v>1</v>
      </c>
    </row>
    <row r="205" spans="1:8" x14ac:dyDescent="0.2">
      <c r="A205" s="13">
        <v>204</v>
      </c>
      <c r="B205" s="13" t="s">
        <v>599</v>
      </c>
      <c r="C205" s="13" t="s">
        <v>585</v>
      </c>
      <c r="D205" s="13" t="s">
        <v>600</v>
      </c>
      <c r="F205" t="s">
        <v>664</v>
      </c>
      <c r="G205" t="s">
        <v>796</v>
      </c>
      <c r="H205" s="45">
        <v>1</v>
      </c>
    </row>
    <row r="206" spans="1:8" x14ac:dyDescent="0.2">
      <c r="A206" s="12">
        <v>205</v>
      </c>
      <c r="B206" s="12" t="s">
        <v>601</v>
      </c>
      <c r="C206" s="12" t="s">
        <v>585</v>
      </c>
      <c r="D206" s="12" t="s">
        <v>602</v>
      </c>
      <c r="F206" t="s">
        <v>664</v>
      </c>
      <c r="G206" t="s">
        <v>794</v>
      </c>
      <c r="H206" s="45">
        <v>1</v>
      </c>
    </row>
    <row r="207" spans="1:8" x14ac:dyDescent="0.2">
      <c r="A207" s="13">
        <v>206</v>
      </c>
      <c r="B207" s="13" t="s">
        <v>603</v>
      </c>
      <c r="C207" s="13" t="s">
        <v>585</v>
      </c>
      <c r="D207" s="13" t="s">
        <v>604</v>
      </c>
      <c r="F207" t="s">
        <v>664</v>
      </c>
      <c r="G207" t="s">
        <v>666</v>
      </c>
      <c r="H207" s="45">
        <v>1</v>
      </c>
    </row>
    <row r="208" spans="1:8" x14ac:dyDescent="0.2">
      <c r="A208" s="12">
        <v>207</v>
      </c>
      <c r="B208" s="12" t="s">
        <v>605</v>
      </c>
      <c r="C208" s="12" t="s">
        <v>585</v>
      </c>
      <c r="D208" s="12" t="s">
        <v>606</v>
      </c>
      <c r="F208" t="s">
        <v>664</v>
      </c>
      <c r="G208" t="s">
        <v>663</v>
      </c>
      <c r="H208" s="45">
        <v>1</v>
      </c>
    </row>
    <row r="209" spans="1:8" x14ac:dyDescent="0.2">
      <c r="A209" s="13">
        <v>208</v>
      </c>
      <c r="B209" s="13" t="s">
        <v>607</v>
      </c>
      <c r="C209" s="13" t="s">
        <v>585</v>
      </c>
      <c r="D209" s="13" t="s">
        <v>608</v>
      </c>
      <c r="F209" t="s">
        <v>664</v>
      </c>
      <c r="G209" t="s">
        <v>668</v>
      </c>
      <c r="H209" s="45">
        <v>1</v>
      </c>
    </row>
    <row r="210" spans="1:8" x14ac:dyDescent="0.2">
      <c r="A210" s="12">
        <v>209</v>
      </c>
      <c r="B210" s="12" t="s">
        <v>609</v>
      </c>
      <c r="C210" s="12" t="s">
        <v>585</v>
      </c>
      <c r="D210" s="12" t="s">
        <v>610</v>
      </c>
      <c r="F210" t="s">
        <v>664</v>
      </c>
      <c r="G210" t="s">
        <v>686</v>
      </c>
      <c r="H210" s="45">
        <v>1</v>
      </c>
    </row>
    <row r="211" spans="1:8" x14ac:dyDescent="0.2">
      <c r="A211" s="13">
        <v>210</v>
      </c>
      <c r="B211" s="13" t="s">
        <v>611</v>
      </c>
      <c r="C211" s="13" t="s">
        <v>585</v>
      </c>
      <c r="D211" s="13" t="s">
        <v>612</v>
      </c>
      <c r="F211" t="s">
        <v>664</v>
      </c>
      <c r="G211" t="s">
        <v>688</v>
      </c>
      <c r="H211" s="45">
        <v>1</v>
      </c>
    </row>
    <row r="212" spans="1:8" ht="25.5" x14ac:dyDescent="0.2">
      <c r="A212" s="12">
        <v>211</v>
      </c>
      <c r="B212" s="12" t="s">
        <v>613</v>
      </c>
      <c r="C212" s="12" t="s">
        <v>585</v>
      </c>
      <c r="D212" s="12" t="s">
        <v>614</v>
      </c>
      <c r="F212" t="s">
        <v>664</v>
      </c>
      <c r="G212" t="s">
        <v>698</v>
      </c>
      <c r="H212" s="45">
        <v>1</v>
      </c>
    </row>
    <row r="213" spans="1:8" x14ac:dyDescent="0.2">
      <c r="A213" s="13">
        <v>212</v>
      </c>
      <c r="B213" s="13" t="s">
        <v>615</v>
      </c>
      <c r="C213" s="13" t="s">
        <v>585</v>
      </c>
      <c r="D213" s="13" t="s">
        <v>616</v>
      </c>
      <c r="F213" t="s">
        <v>664</v>
      </c>
      <c r="G213" t="s">
        <v>700</v>
      </c>
      <c r="H213" s="45">
        <v>1</v>
      </c>
    </row>
    <row r="214" spans="1:8" ht="25.5" x14ac:dyDescent="0.2">
      <c r="A214" s="12">
        <v>213</v>
      </c>
      <c r="B214" s="12" t="s">
        <v>617</v>
      </c>
      <c r="C214" s="12" t="s">
        <v>585</v>
      </c>
      <c r="D214" s="12" t="s">
        <v>618</v>
      </c>
      <c r="F214" t="s">
        <v>661</v>
      </c>
      <c r="G214" t="s">
        <v>660</v>
      </c>
      <c r="H214" s="45">
        <v>1</v>
      </c>
    </row>
    <row r="215" spans="1:8" ht="25.5" x14ac:dyDescent="0.2">
      <c r="A215" s="13">
        <v>214</v>
      </c>
      <c r="B215" s="13" t="s">
        <v>619</v>
      </c>
      <c r="C215" s="13" t="s">
        <v>585</v>
      </c>
      <c r="D215" s="13" t="s">
        <v>620</v>
      </c>
      <c r="F215" t="s">
        <v>209</v>
      </c>
      <c r="G215" t="s">
        <v>208</v>
      </c>
      <c r="H215" s="45">
        <v>1</v>
      </c>
    </row>
    <row r="216" spans="1:8" x14ac:dyDescent="0.2">
      <c r="A216" s="12">
        <v>215</v>
      </c>
      <c r="B216" s="12" t="s">
        <v>621</v>
      </c>
      <c r="C216" s="12" t="s">
        <v>585</v>
      </c>
      <c r="D216" s="12" t="s">
        <v>622</v>
      </c>
      <c r="F216" t="s">
        <v>459</v>
      </c>
      <c r="G216" t="s">
        <v>458</v>
      </c>
      <c r="H216" s="45">
        <v>1</v>
      </c>
    </row>
    <row r="217" spans="1:8" ht="25.5" x14ac:dyDescent="0.2">
      <c r="A217" s="13">
        <v>216</v>
      </c>
      <c r="B217" s="13" t="s">
        <v>623</v>
      </c>
      <c r="C217" s="13" t="s">
        <v>585</v>
      </c>
      <c r="D217" s="13" t="s">
        <v>624</v>
      </c>
      <c r="F217" t="s">
        <v>518</v>
      </c>
      <c r="G217" t="s">
        <v>520</v>
      </c>
      <c r="H217" s="45">
        <v>1</v>
      </c>
    </row>
    <row r="218" spans="1:8" x14ac:dyDescent="0.2">
      <c r="A218" s="12">
        <v>217</v>
      </c>
      <c r="B218" s="12" t="s">
        <v>625</v>
      </c>
      <c r="C218" s="12" t="s">
        <v>585</v>
      </c>
      <c r="D218" s="12" t="s">
        <v>626</v>
      </c>
      <c r="F218" t="s">
        <v>518</v>
      </c>
      <c r="G218" t="s">
        <v>517</v>
      </c>
      <c r="H218" s="45">
        <v>1</v>
      </c>
    </row>
    <row r="219" spans="1:8" x14ac:dyDescent="0.2">
      <c r="A219" s="13">
        <v>218</v>
      </c>
      <c r="B219" s="13" t="s">
        <v>627</v>
      </c>
      <c r="C219" s="13" t="s">
        <v>585</v>
      </c>
      <c r="D219" s="13" t="s">
        <v>628</v>
      </c>
      <c r="F219" t="s">
        <v>325</v>
      </c>
      <c r="G219" t="s">
        <v>324</v>
      </c>
      <c r="H219" s="45">
        <v>1</v>
      </c>
    </row>
    <row r="220" spans="1:8" x14ac:dyDescent="0.2">
      <c r="A220" s="12">
        <v>219</v>
      </c>
      <c r="B220" s="12" t="s">
        <v>629</v>
      </c>
      <c r="C220" s="12" t="s">
        <v>585</v>
      </c>
      <c r="D220" s="12" t="s">
        <v>630</v>
      </c>
      <c r="F220" t="s">
        <v>325</v>
      </c>
      <c r="G220" t="s">
        <v>327</v>
      </c>
      <c r="H220" s="45">
        <v>1</v>
      </c>
    </row>
    <row r="221" spans="1:8" x14ac:dyDescent="0.2">
      <c r="A221" s="13">
        <v>220</v>
      </c>
      <c r="B221" s="13" t="s">
        <v>631</v>
      </c>
      <c r="C221" s="13" t="s">
        <v>632</v>
      </c>
      <c r="D221" s="13" t="s">
        <v>633</v>
      </c>
      <c r="F221" t="s">
        <v>325</v>
      </c>
      <c r="G221" t="s">
        <v>329</v>
      </c>
      <c r="H221" s="45">
        <v>1</v>
      </c>
    </row>
    <row r="222" spans="1:8" ht="25.5" x14ac:dyDescent="0.2">
      <c r="A222" s="12">
        <v>221</v>
      </c>
      <c r="B222" s="12" t="s">
        <v>634</v>
      </c>
      <c r="C222" s="12" t="s">
        <v>632</v>
      </c>
      <c r="D222" s="12" t="s">
        <v>635</v>
      </c>
      <c r="F222" t="s">
        <v>325</v>
      </c>
      <c r="G222" t="s">
        <v>331</v>
      </c>
      <c r="H222" s="45">
        <v>1</v>
      </c>
    </row>
    <row r="223" spans="1:8" ht="25.5" x14ac:dyDescent="0.2">
      <c r="A223" s="13">
        <v>222</v>
      </c>
      <c r="B223" s="13" t="s">
        <v>636</v>
      </c>
      <c r="C223" s="13" t="s">
        <v>632</v>
      </c>
      <c r="D223" s="13" t="s">
        <v>637</v>
      </c>
      <c r="F223" t="s">
        <v>325</v>
      </c>
      <c r="G223" t="s">
        <v>335</v>
      </c>
      <c r="H223" s="45">
        <v>1</v>
      </c>
    </row>
    <row r="224" spans="1:8" ht="25.5" x14ac:dyDescent="0.2">
      <c r="A224" s="12">
        <v>223</v>
      </c>
      <c r="B224" s="12" t="s">
        <v>638</v>
      </c>
      <c r="C224" s="12" t="s">
        <v>632</v>
      </c>
      <c r="D224" s="12" t="s">
        <v>639</v>
      </c>
      <c r="F224" t="s">
        <v>325</v>
      </c>
      <c r="G224" t="s">
        <v>333</v>
      </c>
      <c r="H224" s="45">
        <v>1</v>
      </c>
    </row>
    <row r="225" spans="1:8" ht="25.5" x14ac:dyDescent="0.2">
      <c r="A225" s="13">
        <v>224</v>
      </c>
      <c r="B225" s="13" t="s">
        <v>640</v>
      </c>
      <c r="C225" s="13" t="s">
        <v>632</v>
      </c>
      <c r="D225" s="13" t="s">
        <v>641</v>
      </c>
      <c r="F225" t="s">
        <v>557</v>
      </c>
      <c r="G225" t="s">
        <v>864</v>
      </c>
      <c r="H225" s="45">
        <v>1</v>
      </c>
    </row>
    <row r="226" spans="1:8" ht="25.5" x14ac:dyDescent="0.2">
      <c r="A226" s="12">
        <v>225</v>
      </c>
      <c r="B226" s="12" t="s">
        <v>642</v>
      </c>
      <c r="C226" s="12" t="s">
        <v>632</v>
      </c>
      <c r="D226" s="12" t="s">
        <v>643</v>
      </c>
      <c r="F226" t="s">
        <v>557</v>
      </c>
      <c r="G226" t="s">
        <v>556</v>
      </c>
      <c r="H226" s="45">
        <v>1</v>
      </c>
    </row>
    <row r="227" spans="1:8" ht="25.5" x14ac:dyDescent="0.2">
      <c r="A227" s="13">
        <v>226</v>
      </c>
      <c r="B227" s="13" t="s">
        <v>644</v>
      </c>
      <c r="C227" s="13" t="s">
        <v>632</v>
      </c>
      <c r="D227" s="13" t="s">
        <v>645</v>
      </c>
      <c r="F227" t="s">
        <v>19</v>
      </c>
      <c r="G227" t="s">
        <v>808</v>
      </c>
      <c r="H227" s="45">
        <v>1</v>
      </c>
    </row>
    <row r="228" spans="1:8" ht="25.5" x14ac:dyDescent="0.2">
      <c r="A228" s="12">
        <v>227</v>
      </c>
      <c r="B228" s="12" t="s">
        <v>646</v>
      </c>
      <c r="C228" s="12" t="s">
        <v>632</v>
      </c>
      <c r="D228" s="12" t="s">
        <v>647</v>
      </c>
      <c r="F228" t="s">
        <v>338</v>
      </c>
      <c r="G228" t="s">
        <v>337</v>
      </c>
      <c r="H228" s="45">
        <v>1</v>
      </c>
    </row>
    <row r="229" spans="1:8" ht="25.5" x14ac:dyDescent="0.2">
      <c r="A229" s="13">
        <v>228</v>
      </c>
      <c r="B229" s="13" t="s">
        <v>648</v>
      </c>
      <c r="C229" s="13" t="s">
        <v>632</v>
      </c>
      <c r="D229" s="13" t="s">
        <v>649</v>
      </c>
      <c r="F229" t="s">
        <v>338</v>
      </c>
      <c r="G229" t="s">
        <v>358</v>
      </c>
      <c r="H229" s="45">
        <v>1</v>
      </c>
    </row>
    <row r="230" spans="1:8" x14ac:dyDescent="0.2">
      <c r="A230" s="12">
        <v>229</v>
      </c>
      <c r="B230" s="12" t="s">
        <v>650</v>
      </c>
      <c r="C230" s="12" t="s">
        <v>632</v>
      </c>
      <c r="D230" s="12" t="s">
        <v>651</v>
      </c>
      <c r="F230" t="s">
        <v>338</v>
      </c>
      <c r="G230" t="s">
        <v>350</v>
      </c>
      <c r="H230" s="45">
        <v>1</v>
      </c>
    </row>
    <row r="231" spans="1:8" x14ac:dyDescent="0.2">
      <c r="A231" s="13">
        <v>230</v>
      </c>
      <c r="B231" s="13" t="s">
        <v>652</v>
      </c>
      <c r="C231" s="13" t="s">
        <v>632</v>
      </c>
      <c r="D231" s="13" t="s">
        <v>653</v>
      </c>
      <c r="F231" t="s">
        <v>338</v>
      </c>
      <c r="G231" t="s">
        <v>352</v>
      </c>
      <c r="H231" s="45">
        <v>1</v>
      </c>
    </row>
    <row r="232" spans="1:8" x14ac:dyDescent="0.2">
      <c r="A232" s="12">
        <v>231</v>
      </c>
      <c r="B232" s="12" t="s">
        <v>654</v>
      </c>
      <c r="C232" s="12" t="s">
        <v>655</v>
      </c>
      <c r="D232" s="12" t="s">
        <v>656</v>
      </c>
      <c r="F232" t="s">
        <v>338</v>
      </c>
      <c r="G232" t="s">
        <v>836</v>
      </c>
      <c r="H232" s="45">
        <v>1</v>
      </c>
    </row>
    <row r="233" spans="1:8" ht="38.25" x14ac:dyDescent="0.2">
      <c r="A233" s="13">
        <v>232</v>
      </c>
      <c r="B233" s="13" t="s">
        <v>657</v>
      </c>
      <c r="C233" s="13" t="s">
        <v>658</v>
      </c>
      <c r="D233" s="13" t="s">
        <v>659</v>
      </c>
      <c r="F233" t="s">
        <v>338</v>
      </c>
      <c r="G233" t="s">
        <v>342</v>
      </c>
      <c r="H233" s="45">
        <v>1</v>
      </c>
    </row>
    <row r="234" spans="1:8" x14ac:dyDescent="0.2">
      <c r="A234" s="12">
        <v>233</v>
      </c>
      <c r="B234" s="12" t="s">
        <v>660</v>
      </c>
      <c r="C234" s="12" t="s">
        <v>661</v>
      </c>
      <c r="D234" s="12" t="s">
        <v>662</v>
      </c>
      <c r="F234" t="s">
        <v>338</v>
      </c>
      <c r="G234" t="s">
        <v>344</v>
      </c>
      <c r="H234" s="45">
        <v>1</v>
      </c>
    </row>
    <row r="235" spans="1:8" ht="25.5" x14ac:dyDescent="0.2">
      <c r="A235" s="13">
        <v>234</v>
      </c>
      <c r="B235" s="13" t="s">
        <v>663</v>
      </c>
      <c r="C235" s="13" t="s">
        <v>664</v>
      </c>
      <c r="D235" s="13" t="s">
        <v>665</v>
      </c>
      <c r="F235" t="s">
        <v>338</v>
      </c>
      <c r="G235" t="s">
        <v>522</v>
      </c>
      <c r="H235" s="45">
        <v>1</v>
      </c>
    </row>
    <row r="236" spans="1:8" ht="25.5" x14ac:dyDescent="0.2">
      <c r="A236" s="12">
        <v>235</v>
      </c>
      <c r="B236" s="12" t="s">
        <v>666</v>
      </c>
      <c r="C236" s="12" t="s">
        <v>664</v>
      </c>
      <c r="D236" s="12" t="s">
        <v>667</v>
      </c>
      <c r="F236" t="s">
        <v>338</v>
      </c>
      <c r="G236" t="s">
        <v>523</v>
      </c>
      <c r="H236" s="45">
        <v>1</v>
      </c>
    </row>
    <row r="237" spans="1:8" ht="25.5" x14ac:dyDescent="0.2">
      <c r="A237" s="13">
        <v>236</v>
      </c>
      <c r="B237" s="13" t="s">
        <v>668</v>
      </c>
      <c r="C237" s="13" t="s">
        <v>664</v>
      </c>
      <c r="D237" s="13" t="s">
        <v>669</v>
      </c>
      <c r="F237" t="s">
        <v>338</v>
      </c>
      <c r="G237" t="s">
        <v>354</v>
      </c>
      <c r="H237" s="45">
        <v>1</v>
      </c>
    </row>
    <row r="238" spans="1:8" ht="25.5" x14ac:dyDescent="0.2">
      <c r="A238" s="12">
        <v>237</v>
      </c>
      <c r="B238" s="12" t="s">
        <v>670</v>
      </c>
      <c r="C238" s="12" t="s">
        <v>664</v>
      </c>
      <c r="D238" s="12" t="s">
        <v>671</v>
      </c>
      <c r="F238" t="s">
        <v>338</v>
      </c>
      <c r="G238" t="s">
        <v>346</v>
      </c>
      <c r="H238" s="45">
        <v>1</v>
      </c>
    </row>
    <row r="239" spans="1:8" ht="25.5" x14ac:dyDescent="0.2">
      <c r="A239" s="13">
        <v>238</v>
      </c>
      <c r="B239" s="13" t="s">
        <v>672</v>
      </c>
      <c r="C239" s="13" t="s">
        <v>664</v>
      </c>
      <c r="D239" s="13" t="s">
        <v>673</v>
      </c>
      <c r="F239" t="s">
        <v>338</v>
      </c>
      <c r="G239" t="s">
        <v>348</v>
      </c>
      <c r="H239" s="45">
        <v>1</v>
      </c>
    </row>
    <row r="240" spans="1:8" ht="25.5" x14ac:dyDescent="0.2">
      <c r="A240" s="12">
        <v>239</v>
      </c>
      <c r="B240" s="12" t="s">
        <v>674</v>
      </c>
      <c r="C240" s="12" t="s">
        <v>664</v>
      </c>
      <c r="D240" s="12" t="s">
        <v>675</v>
      </c>
      <c r="F240" t="s">
        <v>338</v>
      </c>
      <c r="G240" t="s">
        <v>340</v>
      </c>
      <c r="H240" s="45">
        <v>1</v>
      </c>
    </row>
    <row r="241" spans="1:8" ht="25.5" x14ac:dyDescent="0.2">
      <c r="A241" s="13">
        <v>240</v>
      </c>
      <c r="B241" s="13" t="s">
        <v>676</v>
      </c>
      <c r="C241" s="13" t="s">
        <v>664</v>
      </c>
      <c r="D241" s="13" t="s">
        <v>677</v>
      </c>
      <c r="F241" t="s">
        <v>338</v>
      </c>
      <c r="G241" t="s">
        <v>356</v>
      </c>
      <c r="H241" s="45">
        <v>1</v>
      </c>
    </row>
    <row r="242" spans="1:8" ht="25.5" x14ac:dyDescent="0.2">
      <c r="A242" s="12">
        <v>241</v>
      </c>
      <c r="B242" s="12" t="s">
        <v>678</v>
      </c>
      <c r="C242" s="12" t="s">
        <v>664</v>
      </c>
      <c r="D242" s="12" t="s">
        <v>679</v>
      </c>
      <c r="F242" t="s">
        <v>338</v>
      </c>
      <c r="G242" t="s">
        <v>357</v>
      </c>
      <c r="H242" s="45">
        <v>1</v>
      </c>
    </row>
    <row r="243" spans="1:8" ht="25.5" x14ac:dyDescent="0.2">
      <c r="A243" s="13">
        <v>242</v>
      </c>
      <c r="B243" s="13" t="s">
        <v>680</v>
      </c>
      <c r="C243" s="13" t="s">
        <v>664</v>
      </c>
      <c r="D243" s="13" t="s">
        <v>681</v>
      </c>
      <c r="F243" t="s">
        <v>513</v>
      </c>
      <c r="G243" t="s">
        <v>798</v>
      </c>
      <c r="H243" s="45">
        <v>1</v>
      </c>
    </row>
    <row r="244" spans="1:8" ht="25.5" x14ac:dyDescent="0.2">
      <c r="A244" s="12">
        <v>243</v>
      </c>
      <c r="B244" s="12" t="s">
        <v>682</v>
      </c>
      <c r="C244" s="12" t="s">
        <v>664</v>
      </c>
      <c r="D244" s="12" t="s">
        <v>683</v>
      </c>
      <c r="F244" t="s">
        <v>513</v>
      </c>
      <c r="G244" t="s">
        <v>512</v>
      </c>
      <c r="H244" s="45">
        <v>1</v>
      </c>
    </row>
    <row r="245" spans="1:8" ht="25.5" x14ac:dyDescent="0.2">
      <c r="A245" s="13">
        <v>244</v>
      </c>
      <c r="B245" s="13" t="s">
        <v>684</v>
      </c>
      <c r="C245" s="13" t="s">
        <v>664</v>
      </c>
      <c r="D245" s="13" t="s">
        <v>685</v>
      </c>
      <c r="F245" t="s">
        <v>513</v>
      </c>
      <c r="G245" t="s">
        <v>759</v>
      </c>
      <c r="H245" s="45">
        <v>1</v>
      </c>
    </row>
    <row r="246" spans="1:8" ht="25.5" x14ac:dyDescent="0.2">
      <c r="A246" s="12">
        <v>245</v>
      </c>
      <c r="B246" s="12" t="s">
        <v>686</v>
      </c>
      <c r="C246" s="12" t="s">
        <v>664</v>
      </c>
      <c r="D246" s="12" t="s">
        <v>687</v>
      </c>
      <c r="F246" t="s">
        <v>513</v>
      </c>
      <c r="G246" t="s">
        <v>515</v>
      </c>
      <c r="H246" s="45">
        <v>1</v>
      </c>
    </row>
    <row r="247" spans="1:8" ht="25.5" x14ac:dyDescent="0.2">
      <c r="A247" s="13">
        <v>246</v>
      </c>
      <c r="B247" s="13" t="s">
        <v>688</v>
      </c>
      <c r="C247" s="13" t="s">
        <v>664</v>
      </c>
      <c r="D247" s="13" t="s">
        <v>689</v>
      </c>
      <c r="F247" t="s">
        <v>526</v>
      </c>
      <c r="G247" t="s">
        <v>525</v>
      </c>
      <c r="H247" s="45">
        <v>1</v>
      </c>
    </row>
    <row r="248" spans="1:8" ht="25.5" x14ac:dyDescent="0.2">
      <c r="A248" s="12">
        <v>247</v>
      </c>
      <c r="B248" s="12" t="s">
        <v>690</v>
      </c>
      <c r="C248" s="12" t="s">
        <v>664</v>
      </c>
      <c r="D248" s="12" t="s">
        <v>691</v>
      </c>
      <c r="F248" t="s">
        <v>526</v>
      </c>
      <c r="G248" t="s">
        <v>528</v>
      </c>
      <c r="H248" s="45">
        <v>1</v>
      </c>
    </row>
    <row r="249" spans="1:8" ht="25.5" x14ac:dyDescent="0.2">
      <c r="A249" s="13">
        <v>248</v>
      </c>
      <c r="B249" s="13" t="s">
        <v>692</v>
      </c>
      <c r="C249" s="13" t="s">
        <v>664</v>
      </c>
      <c r="D249" s="13" t="s">
        <v>693</v>
      </c>
      <c r="F249" t="s">
        <v>526</v>
      </c>
      <c r="G249" t="s">
        <v>530</v>
      </c>
      <c r="H249" s="45">
        <v>1</v>
      </c>
    </row>
    <row r="250" spans="1:8" ht="25.5" x14ac:dyDescent="0.2">
      <c r="A250" s="12">
        <v>249</v>
      </c>
      <c r="B250" s="12" t="s">
        <v>694</v>
      </c>
      <c r="C250" s="12" t="s">
        <v>664</v>
      </c>
      <c r="D250" s="12" t="s">
        <v>695</v>
      </c>
      <c r="F250" t="s">
        <v>526</v>
      </c>
      <c r="G250" t="s">
        <v>532</v>
      </c>
      <c r="H250" s="45">
        <v>1</v>
      </c>
    </row>
    <row r="251" spans="1:8" ht="25.5" x14ac:dyDescent="0.2">
      <c r="A251" s="13">
        <v>250</v>
      </c>
      <c r="B251" s="13" t="s">
        <v>696</v>
      </c>
      <c r="C251" s="13" t="s">
        <v>664</v>
      </c>
      <c r="D251" s="13" t="s">
        <v>697</v>
      </c>
      <c r="F251" t="s">
        <v>703</v>
      </c>
      <c r="G251" t="s">
        <v>702</v>
      </c>
      <c r="H251" s="45">
        <v>1</v>
      </c>
    </row>
    <row r="252" spans="1:8" ht="25.5" x14ac:dyDescent="0.2">
      <c r="A252" s="12">
        <v>251</v>
      </c>
      <c r="B252" s="12" t="s">
        <v>698</v>
      </c>
      <c r="C252" s="12" t="s">
        <v>664</v>
      </c>
      <c r="D252" s="12" t="s">
        <v>699</v>
      </c>
      <c r="F252" t="s">
        <v>703</v>
      </c>
      <c r="G252" t="s">
        <v>705</v>
      </c>
      <c r="H252" s="45">
        <v>1</v>
      </c>
    </row>
    <row r="253" spans="1:8" ht="25.5" x14ac:dyDescent="0.2">
      <c r="A253" s="13">
        <v>252</v>
      </c>
      <c r="B253" s="13" t="s">
        <v>700</v>
      </c>
      <c r="C253" s="13" t="s">
        <v>664</v>
      </c>
      <c r="D253" s="13" t="s">
        <v>701</v>
      </c>
      <c r="F253" t="s">
        <v>535</v>
      </c>
      <c r="G253" t="s">
        <v>534</v>
      </c>
      <c r="H253" s="45">
        <v>1</v>
      </c>
    </row>
    <row r="254" spans="1:8" x14ac:dyDescent="0.2">
      <c r="A254" s="12">
        <v>253</v>
      </c>
      <c r="B254" s="12" t="s">
        <v>702</v>
      </c>
      <c r="C254" s="12" t="s">
        <v>703</v>
      </c>
      <c r="D254" s="12" t="s">
        <v>704</v>
      </c>
      <c r="F254" t="s">
        <v>537</v>
      </c>
      <c r="G254" t="s">
        <v>536</v>
      </c>
      <c r="H254" s="45">
        <v>1</v>
      </c>
    </row>
    <row r="255" spans="1:8" x14ac:dyDescent="0.2">
      <c r="A255" s="13">
        <v>254</v>
      </c>
      <c r="B255" s="13" t="s">
        <v>705</v>
      </c>
      <c r="C255" s="13" t="s">
        <v>703</v>
      </c>
      <c r="D255" s="13" t="s">
        <v>706</v>
      </c>
      <c r="F255" t="s">
        <v>360</v>
      </c>
      <c r="G255" t="s">
        <v>359</v>
      </c>
      <c r="H255" s="45">
        <v>1</v>
      </c>
    </row>
    <row r="256" spans="1:8" ht="25.5" x14ac:dyDescent="0.2">
      <c r="A256" s="12">
        <v>255</v>
      </c>
      <c r="B256" s="12" t="s">
        <v>707</v>
      </c>
      <c r="C256" s="12" t="s">
        <v>708</v>
      </c>
      <c r="D256" s="12" t="s">
        <v>709</v>
      </c>
      <c r="F256" t="s">
        <v>573</v>
      </c>
      <c r="G256" t="s">
        <v>745</v>
      </c>
      <c r="H256" s="45">
        <v>1</v>
      </c>
    </row>
    <row r="257" spans="1:8" ht="25.5" x14ac:dyDescent="0.2">
      <c r="A257" s="13">
        <v>256</v>
      </c>
      <c r="B257" s="13" t="s">
        <v>710</v>
      </c>
      <c r="C257" s="13" t="s">
        <v>708</v>
      </c>
      <c r="D257" s="13" t="s">
        <v>711</v>
      </c>
      <c r="F257" t="s">
        <v>573</v>
      </c>
      <c r="G257" t="s">
        <v>572</v>
      </c>
      <c r="H257" s="45">
        <v>1</v>
      </c>
    </row>
    <row r="258" spans="1:8" x14ac:dyDescent="0.2">
      <c r="A258" s="12">
        <v>257</v>
      </c>
      <c r="B258" s="12" t="s">
        <v>712</v>
      </c>
      <c r="C258" s="12" t="s">
        <v>168</v>
      </c>
      <c r="D258" s="12" t="s">
        <v>713</v>
      </c>
      <c r="F258" t="s">
        <v>362</v>
      </c>
      <c r="G258" t="s">
        <v>361</v>
      </c>
      <c r="H258" s="45">
        <v>1</v>
      </c>
    </row>
    <row r="259" spans="1:8" x14ac:dyDescent="0.2">
      <c r="A259" s="13">
        <v>258</v>
      </c>
      <c r="B259" s="13" t="s">
        <v>714</v>
      </c>
      <c r="C259" s="13" t="s">
        <v>168</v>
      </c>
      <c r="D259" s="13" t="s">
        <v>715</v>
      </c>
      <c r="F259" t="s">
        <v>723</v>
      </c>
      <c r="G259" t="s">
        <v>722</v>
      </c>
      <c r="H259" s="45">
        <v>1</v>
      </c>
    </row>
    <row r="260" spans="1:8" ht="38.25" x14ac:dyDescent="0.2">
      <c r="A260" s="12">
        <v>259</v>
      </c>
      <c r="B260" s="12" t="s">
        <v>716</v>
      </c>
      <c r="C260" s="12" t="s">
        <v>717</v>
      </c>
      <c r="D260" s="12" t="s">
        <v>718</v>
      </c>
      <c r="F260" t="s">
        <v>723</v>
      </c>
      <c r="G260" t="s">
        <v>731</v>
      </c>
      <c r="H260" s="45">
        <v>1</v>
      </c>
    </row>
    <row r="261" spans="1:8" x14ac:dyDescent="0.2">
      <c r="A261" s="13">
        <v>260</v>
      </c>
      <c r="B261" s="13" t="s">
        <v>719</v>
      </c>
      <c r="C261" s="13" t="s">
        <v>720</v>
      </c>
      <c r="D261" s="13" t="s">
        <v>721</v>
      </c>
      <c r="F261" t="s">
        <v>576</v>
      </c>
      <c r="G261" t="s">
        <v>575</v>
      </c>
      <c r="H261" s="45">
        <v>1</v>
      </c>
    </row>
    <row r="262" spans="1:8" x14ac:dyDescent="0.2">
      <c r="A262" s="12">
        <v>261</v>
      </c>
      <c r="B262" s="12" t="s">
        <v>722</v>
      </c>
      <c r="C262" s="12" t="s">
        <v>723</v>
      </c>
      <c r="D262" s="12" t="s">
        <v>724</v>
      </c>
      <c r="F262" t="s">
        <v>540</v>
      </c>
      <c r="G262" t="s">
        <v>539</v>
      </c>
      <c r="H262" s="45">
        <v>1</v>
      </c>
    </row>
    <row r="263" spans="1:8" x14ac:dyDescent="0.2">
      <c r="A263" s="13">
        <v>262</v>
      </c>
      <c r="B263" s="13" t="s">
        <v>725</v>
      </c>
      <c r="C263" s="13" t="s">
        <v>239</v>
      </c>
      <c r="D263" s="13" t="s">
        <v>726</v>
      </c>
      <c r="F263" t="s">
        <v>540</v>
      </c>
      <c r="G263" t="s">
        <v>542</v>
      </c>
      <c r="H263" s="45">
        <v>1</v>
      </c>
    </row>
    <row r="264" spans="1:8" x14ac:dyDescent="0.2">
      <c r="A264" s="12">
        <v>263</v>
      </c>
      <c r="B264" s="12" t="s">
        <v>727</v>
      </c>
      <c r="C264" s="12" t="s">
        <v>585</v>
      </c>
      <c r="D264" s="12" t="s">
        <v>728</v>
      </c>
      <c r="F264" t="s">
        <v>540</v>
      </c>
      <c r="G264" t="s">
        <v>544</v>
      </c>
      <c r="H264" s="45">
        <v>1</v>
      </c>
    </row>
    <row r="265" spans="1:8" x14ac:dyDescent="0.2">
      <c r="A265" s="13">
        <v>264</v>
      </c>
      <c r="B265" s="13" t="s">
        <v>729</v>
      </c>
      <c r="C265" s="13" t="s">
        <v>585</v>
      </c>
      <c r="D265" s="13" t="s">
        <v>730</v>
      </c>
      <c r="F265" t="s">
        <v>582</v>
      </c>
      <c r="G265" t="s">
        <v>581</v>
      </c>
      <c r="H265" s="45">
        <v>1</v>
      </c>
    </row>
    <row r="266" spans="1:8" ht="25.5" x14ac:dyDescent="0.2">
      <c r="A266" s="12">
        <v>265</v>
      </c>
      <c r="B266" s="12" t="s">
        <v>731</v>
      </c>
      <c r="C266" s="12" t="s">
        <v>723</v>
      </c>
      <c r="D266" s="12" t="s">
        <v>732</v>
      </c>
      <c r="F266" t="s">
        <v>658</v>
      </c>
      <c r="G266" t="s">
        <v>657</v>
      </c>
      <c r="H266" s="45">
        <v>1</v>
      </c>
    </row>
    <row r="267" spans="1:8" x14ac:dyDescent="0.2">
      <c r="A267" s="13">
        <v>266</v>
      </c>
      <c r="B267" s="13" t="s">
        <v>733</v>
      </c>
      <c r="C267" s="13" t="s">
        <v>734</v>
      </c>
      <c r="D267" s="13" t="s">
        <v>735</v>
      </c>
      <c r="F267" t="s">
        <v>579</v>
      </c>
      <c r="G267" t="s">
        <v>578</v>
      </c>
      <c r="H267" s="45">
        <v>1</v>
      </c>
    </row>
    <row r="268" spans="1:8" ht="25.5" x14ac:dyDescent="0.2">
      <c r="A268" s="12">
        <v>267</v>
      </c>
      <c r="B268" s="12" t="s">
        <v>736</v>
      </c>
      <c r="C268" s="12" t="s">
        <v>737</v>
      </c>
      <c r="D268" s="12" t="s">
        <v>738</v>
      </c>
      <c r="F268" t="s">
        <v>18</v>
      </c>
      <c r="G268" t="s">
        <v>364</v>
      </c>
      <c r="H268" s="45">
        <v>1</v>
      </c>
    </row>
    <row r="269" spans="1:8" x14ac:dyDescent="0.2">
      <c r="A269" s="13">
        <v>268</v>
      </c>
      <c r="B269" s="13" t="s">
        <v>739</v>
      </c>
      <c r="C269" s="13" t="s">
        <v>570</v>
      </c>
      <c r="D269" s="13" t="s">
        <v>740</v>
      </c>
      <c r="F269" t="s">
        <v>18</v>
      </c>
      <c r="G269" t="s">
        <v>366</v>
      </c>
      <c r="H269" s="45">
        <v>1</v>
      </c>
    </row>
    <row r="270" spans="1:8" ht="25.5" x14ac:dyDescent="0.2">
      <c r="A270" s="12">
        <v>269</v>
      </c>
      <c r="B270" s="12" t="s">
        <v>741</v>
      </c>
      <c r="C270" s="12" t="s">
        <v>570</v>
      </c>
      <c r="D270" s="12" t="s">
        <v>742</v>
      </c>
      <c r="F270" t="s">
        <v>18</v>
      </c>
      <c r="G270" t="s">
        <v>370</v>
      </c>
      <c r="H270" s="45">
        <v>1</v>
      </c>
    </row>
    <row r="271" spans="1:8" ht="25.5" x14ac:dyDescent="0.2">
      <c r="A271" s="13">
        <v>270</v>
      </c>
      <c r="B271" s="13" t="s">
        <v>743</v>
      </c>
      <c r="C271" s="13" t="s">
        <v>570</v>
      </c>
      <c r="D271" s="13" t="s">
        <v>744</v>
      </c>
      <c r="F271" t="s">
        <v>18</v>
      </c>
      <c r="G271" t="s">
        <v>368</v>
      </c>
      <c r="H271" s="45">
        <v>1</v>
      </c>
    </row>
    <row r="272" spans="1:8" x14ac:dyDescent="0.2">
      <c r="A272" s="12">
        <v>271</v>
      </c>
      <c r="B272" s="12" t="s">
        <v>745</v>
      </c>
      <c r="C272" s="12" t="s">
        <v>573</v>
      </c>
      <c r="D272" s="12" t="s">
        <v>746</v>
      </c>
      <c r="F272" t="s">
        <v>18</v>
      </c>
      <c r="G272" t="s">
        <v>852</v>
      </c>
      <c r="H272" s="45">
        <v>1</v>
      </c>
    </row>
    <row r="273" spans="1:8" x14ac:dyDescent="0.2">
      <c r="A273" s="13">
        <v>272</v>
      </c>
      <c r="B273" s="13" t="s">
        <v>747</v>
      </c>
      <c r="C273" s="13" t="s">
        <v>748</v>
      </c>
      <c r="D273" s="13" t="s">
        <v>749</v>
      </c>
      <c r="F273" t="s">
        <v>18</v>
      </c>
      <c r="G273" t="s">
        <v>848</v>
      </c>
      <c r="H273" s="45">
        <v>1</v>
      </c>
    </row>
    <row r="274" spans="1:8" x14ac:dyDescent="0.2">
      <c r="A274" s="12">
        <v>273</v>
      </c>
      <c r="B274" s="12" t="s">
        <v>750</v>
      </c>
      <c r="C274" s="12" t="s">
        <v>751</v>
      </c>
      <c r="D274" s="12" t="s">
        <v>259</v>
      </c>
      <c r="F274" t="s">
        <v>373</v>
      </c>
      <c r="G274" t="s">
        <v>384</v>
      </c>
      <c r="H274" s="45">
        <v>1</v>
      </c>
    </row>
    <row r="275" spans="1:8" ht="25.5" x14ac:dyDescent="0.2">
      <c r="A275" s="13">
        <v>274</v>
      </c>
      <c r="B275" s="13" t="s">
        <v>752</v>
      </c>
      <c r="C275" s="13" t="s">
        <v>585</v>
      </c>
      <c r="D275" s="13" t="s">
        <v>753</v>
      </c>
      <c r="F275" t="s">
        <v>373</v>
      </c>
      <c r="G275" t="s">
        <v>380</v>
      </c>
      <c r="H275" s="45">
        <v>1</v>
      </c>
    </row>
    <row r="276" spans="1:8" x14ac:dyDescent="0.2">
      <c r="A276" s="12">
        <v>275</v>
      </c>
      <c r="B276" s="12" t="s">
        <v>754</v>
      </c>
      <c r="C276" s="12" t="s">
        <v>585</v>
      </c>
      <c r="D276" s="12" t="s">
        <v>755</v>
      </c>
      <c r="F276" t="s">
        <v>373</v>
      </c>
      <c r="G276" t="s">
        <v>390</v>
      </c>
      <c r="H276" s="45">
        <v>1</v>
      </c>
    </row>
    <row r="277" spans="1:8" ht="25.5" x14ac:dyDescent="0.2">
      <c r="A277" s="13">
        <v>276</v>
      </c>
      <c r="B277" s="13" t="s">
        <v>756</v>
      </c>
      <c r="C277" s="13" t="s">
        <v>757</v>
      </c>
      <c r="D277" s="13" t="s">
        <v>758</v>
      </c>
      <c r="F277" t="s">
        <v>373</v>
      </c>
      <c r="G277" t="s">
        <v>378</v>
      </c>
      <c r="H277" s="45">
        <v>1</v>
      </c>
    </row>
    <row r="278" spans="1:8" ht="25.5" x14ac:dyDescent="0.2">
      <c r="A278" s="12">
        <v>277</v>
      </c>
      <c r="B278" s="12" t="s">
        <v>759</v>
      </c>
      <c r="C278" s="12" t="s">
        <v>513</v>
      </c>
      <c r="D278" s="12" t="s">
        <v>760</v>
      </c>
      <c r="F278" t="s">
        <v>373</v>
      </c>
      <c r="G278" t="s">
        <v>546</v>
      </c>
      <c r="H278" s="45">
        <v>1</v>
      </c>
    </row>
    <row r="279" spans="1:8" x14ac:dyDescent="0.2">
      <c r="A279" s="13">
        <v>278</v>
      </c>
      <c r="B279" s="13" t="s">
        <v>761</v>
      </c>
      <c r="C279" s="13" t="s">
        <v>504</v>
      </c>
      <c r="D279" s="13" t="s">
        <v>762</v>
      </c>
      <c r="F279" t="s">
        <v>373</v>
      </c>
      <c r="G279" t="s">
        <v>388</v>
      </c>
      <c r="H279" s="45">
        <v>1</v>
      </c>
    </row>
    <row r="280" spans="1:8" x14ac:dyDescent="0.2">
      <c r="A280" s="12">
        <v>279</v>
      </c>
      <c r="B280" s="12" t="s">
        <v>763</v>
      </c>
      <c r="C280" s="12" t="s">
        <v>239</v>
      </c>
      <c r="D280" s="12" t="s">
        <v>764</v>
      </c>
      <c r="F280" t="s">
        <v>373</v>
      </c>
      <c r="G280" t="s">
        <v>386</v>
      </c>
      <c r="H280" s="45">
        <v>1</v>
      </c>
    </row>
    <row r="281" spans="1:8" x14ac:dyDescent="0.2">
      <c r="A281" s="13">
        <v>280</v>
      </c>
      <c r="B281" s="13" t="s">
        <v>765</v>
      </c>
      <c r="C281" s="13" t="s">
        <v>239</v>
      </c>
      <c r="D281" s="13" t="s">
        <v>766</v>
      </c>
      <c r="F281" t="s">
        <v>373</v>
      </c>
      <c r="G281" t="s">
        <v>375</v>
      </c>
      <c r="H281" s="45">
        <v>1</v>
      </c>
    </row>
    <row r="282" spans="1:8" x14ac:dyDescent="0.2">
      <c r="A282" s="12">
        <v>281</v>
      </c>
      <c r="B282" s="12" t="s">
        <v>767</v>
      </c>
      <c r="C282" s="12" t="s">
        <v>632</v>
      </c>
      <c r="D282" s="12" t="s">
        <v>768</v>
      </c>
      <c r="F282" t="s">
        <v>373</v>
      </c>
      <c r="G282" t="s">
        <v>377</v>
      </c>
      <c r="H282" s="45">
        <v>1</v>
      </c>
    </row>
    <row r="283" spans="1:8" x14ac:dyDescent="0.2">
      <c r="A283" s="13">
        <v>282</v>
      </c>
      <c r="B283" s="13" t="s">
        <v>769</v>
      </c>
      <c r="C283" s="13" t="s">
        <v>585</v>
      </c>
      <c r="D283" s="13" t="s">
        <v>770</v>
      </c>
      <c r="F283" t="s">
        <v>373</v>
      </c>
      <c r="G283" t="s">
        <v>383</v>
      </c>
      <c r="H283" s="45">
        <v>1</v>
      </c>
    </row>
    <row r="284" spans="1:8" x14ac:dyDescent="0.2">
      <c r="A284" s="12">
        <v>283</v>
      </c>
      <c r="B284" s="12" t="s">
        <v>771</v>
      </c>
      <c r="C284" s="12" t="s">
        <v>239</v>
      </c>
      <c r="D284" s="12" t="s">
        <v>772</v>
      </c>
      <c r="F284" t="s">
        <v>373</v>
      </c>
      <c r="G284" t="s">
        <v>806</v>
      </c>
      <c r="H284" s="45">
        <v>1</v>
      </c>
    </row>
    <row r="285" spans="1:8" x14ac:dyDescent="0.2">
      <c r="A285" s="13">
        <v>284</v>
      </c>
      <c r="B285" s="13" t="s">
        <v>773</v>
      </c>
      <c r="C285" s="13" t="s">
        <v>239</v>
      </c>
      <c r="D285" s="13" t="s">
        <v>774</v>
      </c>
      <c r="F285" t="s">
        <v>373</v>
      </c>
      <c r="G285" t="s">
        <v>372</v>
      </c>
      <c r="H285" s="45">
        <v>1</v>
      </c>
    </row>
    <row r="286" spans="1:8" x14ac:dyDescent="0.2">
      <c r="A286" s="12">
        <v>285</v>
      </c>
      <c r="B286" s="12" t="s">
        <v>775</v>
      </c>
      <c r="C286" s="12" t="s">
        <v>776</v>
      </c>
      <c r="D286" s="12" t="s">
        <v>777</v>
      </c>
      <c r="F286" t="s">
        <v>373</v>
      </c>
      <c r="G286" t="s">
        <v>382</v>
      </c>
      <c r="H286" s="45">
        <v>1</v>
      </c>
    </row>
    <row r="287" spans="1:8" x14ac:dyDescent="0.2">
      <c r="A287" s="13">
        <v>286</v>
      </c>
      <c r="B287" s="13" t="s">
        <v>778</v>
      </c>
      <c r="C287" s="13" t="s">
        <v>585</v>
      </c>
      <c r="D287" s="13" t="s">
        <v>779</v>
      </c>
      <c r="F287" t="s">
        <v>373</v>
      </c>
      <c r="G287" t="s">
        <v>550</v>
      </c>
      <c r="H287" s="45">
        <v>1</v>
      </c>
    </row>
    <row r="288" spans="1:8" x14ac:dyDescent="0.2">
      <c r="A288" s="12">
        <v>287</v>
      </c>
      <c r="B288" s="12" t="s">
        <v>780</v>
      </c>
      <c r="C288" s="12" t="s">
        <v>239</v>
      </c>
      <c r="D288" s="12" t="s">
        <v>781</v>
      </c>
      <c r="F288" t="s">
        <v>373</v>
      </c>
      <c r="G288" t="s">
        <v>548</v>
      </c>
      <c r="H288" s="45">
        <v>1</v>
      </c>
    </row>
    <row r="289" spans="1:8" ht="25.5" x14ac:dyDescent="0.2">
      <c r="A289" s="13">
        <v>288</v>
      </c>
      <c r="B289" s="13" t="s">
        <v>782</v>
      </c>
      <c r="C289" s="13" t="s">
        <v>239</v>
      </c>
      <c r="D289" s="13" t="s">
        <v>783</v>
      </c>
      <c r="F289" t="s">
        <v>632</v>
      </c>
      <c r="G289" t="s">
        <v>652</v>
      </c>
      <c r="H289" s="45">
        <v>1</v>
      </c>
    </row>
    <row r="290" spans="1:8" ht="25.5" x14ac:dyDescent="0.2">
      <c r="A290" s="12">
        <v>289</v>
      </c>
      <c r="B290" s="12" t="s">
        <v>784</v>
      </c>
      <c r="C290" s="12" t="s">
        <v>664</v>
      </c>
      <c r="D290" s="12" t="s">
        <v>785</v>
      </c>
      <c r="F290" t="s">
        <v>632</v>
      </c>
      <c r="G290" t="s">
        <v>650</v>
      </c>
      <c r="H290" s="45">
        <v>1</v>
      </c>
    </row>
    <row r="291" spans="1:8" ht="25.5" x14ac:dyDescent="0.2">
      <c r="A291" s="13">
        <v>290</v>
      </c>
      <c r="B291" s="13" t="s">
        <v>786</v>
      </c>
      <c r="C291" s="13" t="s">
        <v>664</v>
      </c>
      <c r="D291" s="13" t="s">
        <v>787</v>
      </c>
      <c r="F291" t="s">
        <v>632</v>
      </c>
      <c r="G291" t="s">
        <v>646</v>
      </c>
      <c r="H291" s="45">
        <v>1</v>
      </c>
    </row>
    <row r="292" spans="1:8" x14ac:dyDescent="0.2">
      <c r="A292" s="12">
        <v>291</v>
      </c>
      <c r="B292" s="12" t="s">
        <v>788</v>
      </c>
      <c r="C292" s="12" t="s">
        <v>239</v>
      </c>
      <c r="D292" s="12" t="s">
        <v>789</v>
      </c>
      <c r="F292" t="s">
        <v>632</v>
      </c>
      <c r="G292" t="s">
        <v>648</v>
      </c>
      <c r="H292" s="45">
        <v>1</v>
      </c>
    </row>
    <row r="293" spans="1:8" x14ac:dyDescent="0.2">
      <c r="A293" s="13">
        <v>292</v>
      </c>
      <c r="B293" s="13" t="s">
        <v>790</v>
      </c>
      <c r="C293" s="13" t="s">
        <v>655</v>
      </c>
      <c r="D293" s="13" t="s">
        <v>791</v>
      </c>
      <c r="F293" t="s">
        <v>632</v>
      </c>
      <c r="G293" t="s">
        <v>640</v>
      </c>
      <c r="H293" s="45">
        <v>1</v>
      </c>
    </row>
    <row r="294" spans="1:8" x14ac:dyDescent="0.2">
      <c r="A294" s="12">
        <v>293</v>
      </c>
      <c r="B294" s="12" t="s">
        <v>792</v>
      </c>
      <c r="C294" s="12" t="s">
        <v>585</v>
      </c>
      <c r="D294" s="12" t="s">
        <v>793</v>
      </c>
      <c r="F294" t="s">
        <v>632</v>
      </c>
      <c r="G294" t="s">
        <v>642</v>
      </c>
      <c r="H294" s="45">
        <v>1</v>
      </c>
    </row>
    <row r="295" spans="1:8" ht="25.5" x14ac:dyDescent="0.2">
      <c r="A295" s="13">
        <v>294</v>
      </c>
      <c r="B295" s="13" t="s">
        <v>794</v>
      </c>
      <c r="C295" s="13" t="s">
        <v>664</v>
      </c>
      <c r="D295" s="13" t="s">
        <v>795</v>
      </c>
      <c r="F295" t="s">
        <v>632</v>
      </c>
      <c r="G295" t="s">
        <v>644</v>
      </c>
      <c r="H295" s="45">
        <v>1</v>
      </c>
    </row>
    <row r="296" spans="1:8" ht="25.5" x14ac:dyDescent="0.2">
      <c r="A296" s="12">
        <v>295</v>
      </c>
      <c r="B296" s="12" t="s">
        <v>796</v>
      </c>
      <c r="C296" s="12" t="s">
        <v>664</v>
      </c>
      <c r="D296" s="12" t="s">
        <v>797</v>
      </c>
      <c r="F296" t="s">
        <v>632</v>
      </c>
      <c r="G296" t="s">
        <v>767</v>
      </c>
      <c r="H296" s="45">
        <v>1</v>
      </c>
    </row>
    <row r="297" spans="1:8" ht="25.5" x14ac:dyDescent="0.2">
      <c r="A297" s="13">
        <v>296</v>
      </c>
      <c r="B297" s="13" t="s">
        <v>798</v>
      </c>
      <c r="C297" s="13" t="s">
        <v>513</v>
      </c>
      <c r="D297" s="13" t="s">
        <v>799</v>
      </c>
      <c r="F297" t="s">
        <v>632</v>
      </c>
      <c r="G297" t="s">
        <v>631</v>
      </c>
      <c r="H297" s="45">
        <v>1</v>
      </c>
    </row>
    <row r="298" spans="1:8" x14ac:dyDescent="0.2">
      <c r="A298" s="12">
        <v>297</v>
      </c>
      <c r="B298" s="12" t="s">
        <v>800</v>
      </c>
      <c r="C298" s="12" t="s">
        <v>504</v>
      </c>
      <c r="D298" s="12" t="s">
        <v>801</v>
      </c>
      <c r="F298" t="s">
        <v>632</v>
      </c>
      <c r="G298" t="s">
        <v>636</v>
      </c>
      <c r="H298" s="45">
        <v>1</v>
      </c>
    </row>
    <row r="299" spans="1:8" x14ac:dyDescent="0.2">
      <c r="A299" s="13">
        <v>298</v>
      </c>
      <c r="B299" s="13" t="s">
        <v>802</v>
      </c>
      <c r="C299" s="13" t="s">
        <v>504</v>
      </c>
      <c r="D299" s="13" t="s">
        <v>803</v>
      </c>
      <c r="F299" t="s">
        <v>632</v>
      </c>
      <c r="G299" t="s">
        <v>638</v>
      </c>
      <c r="H299" s="45">
        <v>1</v>
      </c>
    </row>
    <row r="300" spans="1:8" x14ac:dyDescent="0.2">
      <c r="A300" s="12">
        <v>299</v>
      </c>
      <c r="B300" s="12" t="s">
        <v>804</v>
      </c>
      <c r="C300" s="12" t="s">
        <v>418</v>
      </c>
      <c r="D300" s="12" t="s">
        <v>805</v>
      </c>
      <c r="F300" t="s">
        <v>632</v>
      </c>
      <c r="G300" t="s">
        <v>634</v>
      </c>
      <c r="H300" s="45">
        <v>1</v>
      </c>
    </row>
    <row r="301" spans="1:8" x14ac:dyDescent="0.2">
      <c r="A301" s="13">
        <v>300</v>
      </c>
      <c r="B301" s="13" t="s">
        <v>806</v>
      </c>
      <c r="C301" s="13" t="s">
        <v>373</v>
      </c>
      <c r="D301" s="13" t="s">
        <v>807</v>
      </c>
      <c r="F301" t="s">
        <v>393</v>
      </c>
      <c r="G301" t="s">
        <v>392</v>
      </c>
      <c r="H301" s="45">
        <v>1</v>
      </c>
    </row>
    <row r="302" spans="1:8" x14ac:dyDescent="0.2">
      <c r="A302" s="12">
        <v>301</v>
      </c>
      <c r="B302" s="12" t="s">
        <v>808</v>
      </c>
      <c r="C302" s="12" t="s">
        <v>19</v>
      </c>
      <c r="D302" s="12" t="s">
        <v>808</v>
      </c>
      <c r="F302" t="s">
        <v>393</v>
      </c>
      <c r="G302" t="s">
        <v>395</v>
      </c>
      <c r="H302" s="45">
        <v>1</v>
      </c>
    </row>
    <row r="303" spans="1:8" ht="25.5" x14ac:dyDescent="0.2">
      <c r="A303" s="13">
        <v>302</v>
      </c>
      <c r="B303" s="13" t="s">
        <v>809</v>
      </c>
      <c r="C303" s="13" t="s">
        <v>570</v>
      </c>
      <c r="D303" s="13" t="s">
        <v>810</v>
      </c>
      <c r="F303" t="s">
        <v>393</v>
      </c>
      <c r="G303" t="s">
        <v>397</v>
      </c>
      <c r="H303" s="45">
        <v>1</v>
      </c>
    </row>
    <row r="304" spans="1:8" x14ac:dyDescent="0.2">
      <c r="A304" s="12">
        <v>303</v>
      </c>
      <c r="B304" s="12" t="s">
        <v>811</v>
      </c>
      <c r="C304" s="12" t="s">
        <v>585</v>
      </c>
      <c r="D304" s="12" t="s">
        <v>812</v>
      </c>
      <c r="F304" t="s">
        <v>393</v>
      </c>
      <c r="G304" t="s">
        <v>399</v>
      </c>
      <c r="H304" s="45">
        <v>1</v>
      </c>
    </row>
    <row r="305" spans="1:8" ht="25.5" x14ac:dyDescent="0.2">
      <c r="A305" s="13">
        <v>304</v>
      </c>
      <c r="B305" s="13" t="s">
        <v>813</v>
      </c>
      <c r="C305" s="13" t="s">
        <v>462</v>
      </c>
      <c r="D305" s="13" t="s">
        <v>814</v>
      </c>
      <c r="F305" t="s">
        <v>393</v>
      </c>
      <c r="G305" t="s">
        <v>866</v>
      </c>
      <c r="H305" s="45">
        <v>1</v>
      </c>
    </row>
    <row r="306" spans="1:8" x14ac:dyDescent="0.2">
      <c r="A306" s="12">
        <v>305</v>
      </c>
      <c r="B306" s="12" t="s">
        <v>815</v>
      </c>
      <c r="C306" s="12" t="s">
        <v>816</v>
      </c>
      <c r="D306" s="12" t="s">
        <v>817</v>
      </c>
      <c r="F306" t="s">
        <v>393</v>
      </c>
      <c r="G306" t="s">
        <v>552</v>
      </c>
      <c r="H306" s="45">
        <v>1</v>
      </c>
    </row>
    <row r="307" spans="1:8" x14ac:dyDescent="0.2">
      <c r="A307" s="13">
        <v>306</v>
      </c>
      <c r="B307" s="13" t="s">
        <v>818</v>
      </c>
      <c r="C307" s="13" t="s">
        <v>585</v>
      </c>
      <c r="D307" s="13" t="s">
        <v>819</v>
      </c>
      <c r="F307" t="s">
        <v>393</v>
      </c>
      <c r="G307" t="s">
        <v>401</v>
      </c>
      <c r="H307" s="45">
        <v>1</v>
      </c>
    </row>
    <row r="308" spans="1:8" x14ac:dyDescent="0.2">
      <c r="A308" s="12">
        <v>307</v>
      </c>
      <c r="B308" s="12" t="s">
        <v>820</v>
      </c>
      <c r="C308" s="12" t="s">
        <v>418</v>
      </c>
      <c r="D308" s="12" t="s">
        <v>98</v>
      </c>
      <c r="F308" t="s">
        <v>393</v>
      </c>
      <c r="G308" t="s">
        <v>554</v>
      </c>
      <c r="H308" s="45">
        <v>1</v>
      </c>
    </row>
    <row r="309" spans="1:8" x14ac:dyDescent="0.2">
      <c r="A309" s="13">
        <v>308</v>
      </c>
      <c r="B309" s="13" t="s">
        <v>821</v>
      </c>
      <c r="C309" s="13" t="s">
        <v>585</v>
      </c>
      <c r="D309" s="13" t="s">
        <v>822</v>
      </c>
      <c r="F309" t="s">
        <v>393</v>
      </c>
      <c r="G309" t="s">
        <v>403</v>
      </c>
      <c r="H309" s="45">
        <v>1</v>
      </c>
    </row>
    <row r="310" spans="1:8" x14ac:dyDescent="0.2">
      <c r="A310" s="12">
        <v>309</v>
      </c>
      <c r="B310" s="12" t="s">
        <v>823</v>
      </c>
      <c r="C310" s="12" t="s">
        <v>168</v>
      </c>
      <c r="D310" s="12" t="s">
        <v>824</v>
      </c>
      <c r="F310" t="s">
        <v>393</v>
      </c>
      <c r="G310" t="s">
        <v>405</v>
      </c>
      <c r="H310" s="45">
        <v>1</v>
      </c>
    </row>
    <row r="311" spans="1:8" x14ac:dyDescent="0.2">
      <c r="A311" s="13">
        <v>310</v>
      </c>
      <c r="B311" s="13" t="s">
        <v>825</v>
      </c>
      <c r="C311" s="13" t="s">
        <v>393</v>
      </c>
      <c r="D311" s="13" t="s">
        <v>826</v>
      </c>
      <c r="F311" t="s">
        <v>393</v>
      </c>
      <c r="G311" t="s">
        <v>407</v>
      </c>
      <c r="H311" s="45">
        <v>1</v>
      </c>
    </row>
    <row r="312" spans="1:8" x14ac:dyDescent="0.2">
      <c r="A312" s="12">
        <v>311</v>
      </c>
      <c r="B312" s="12" t="s">
        <v>827</v>
      </c>
      <c r="C312" s="12" t="s">
        <v>239</v>
      </c>
      <c r="D312" s="12" t="s">
        <v>828</v>
      </c>
      <c r="F312" t="s">
        <v>393</v>
      </c>
      <c r="G312" t="s">
        <v>409</v>
      </c>
      <c r="H312" s="45">
        <v>1</v>
      </c>
    </row>
    <row r="313" spans="1:8" x14ac:dyDescent="0.2">
      <c r="A313" s="13">
        <v>312</v>
      </c>
      <c r="B313" s="13" t="s">
        <v>829</v>
      </c>
      <c r="C313" s="13" t="s">
        <v>418</v>
      </c>
      <c r="D313" s="13" t="s">
        <v>830</v>
      </c>
      <c r="F313" t="s">
        <v>393</v>
      </c>
      <c r="G313" t="s">
        <v>846</v>
      </c>
      <c r="H313" s="45">
        <v>1</v>
      </c>
    </row>
    <row r="314" spans="1:8" ht="38.25" x14ac:dyDescent="0.2">
      <c r="A314" s="12">
        <v>313</v>
      </c>
      <c r="B314" s="12" t="s">
        <v>831</v>
      </c>
      <c r="C314" s="12" t="s">
        <v>832</v>
      </c>
      <c r="D314" s="12" t="s">
        <v>833</v>
      </c>
      <c r="F314" t="s">
        <v>393</v>
      </c>
      <c r="G314" t="s">
        <v>411</v>
      </c>
      <c r="H314" s="45">
        <v>1</v>
      </c>
    </row>
    <row r="315" spans="1:8" x14ac:dyDescent="0.2">
      <c r="A315" s="13">
        <v>314</v>
      </c>
      <c r="B315" s="13" t="s">
        <v>834</v>
      </c>
      <c r="C315" s="13" t="s">
        <v>504</v>
      </c>
      <c r="D315" s="13" t="s">
        <v>835</v>
      </c>
      <c r="F315" t="s">
        <v>393</v>
      </c>
      <c r="G315" t="s">
        <v>815</v>
      </c>
      <c r="H315" s="45">
        <v>1</v>
      </c>
    </row>
    <row r="316" spans="1:8" x14ac:dyDescent="0.2">
      <c r="A316" s="12">
        <v>315</v>
      </c>
      <c r="B316" s="12" t="s">
        <v>836</v>
      </c>
      <c r="C316" s="12" t="s">
        <v>338</v>
      </c>
      <c r="D316" s="12" t="s">
        <v>837</v>
      </c>
      <c r="F316" t="s">
        <v>393</v>
      </c>
      <c r="G316" t="s">
        <v>413</v>
      </c>
      <c r="H316" s="45">
        <v>1</v>
      </c>
    </row>
    <row r="317" spans="1:8" ht="25.5" x14ac:dyDescent="0.2">
      <c r="A317" s="13">
        <v>316</v>
      </c>
      <c r="B317" s="13" t="s">
        <v>838</v>
      </c>
      <c r="C317" s="13" t="s">
        <v>585</v>
      </c>
      <c r="D317" s="13" t="s">
        <v>839</v>
      </c>
      <c r="F317" t="s">
        <v>393</v>
      </c>
      <c r="G317" t="s">
        <v>825</v>
      </c>
      <c r="H317" s="45">
        <v>1</v>
      </c>
    </row>
    <row r="318" spans="1:8" x14ac:dyDescent="0.2">
      <c r="A318" s="12">
        <v>317</v>
      </c>
      <c r="B318" s="12" t="s">
        <v>840</v>
      </c>
      <c r="C318" s="12" t="s">
        <v>504</v>
      </c>
      <c r="D318" s="12" t="s">
        <v>841</v>
      </c>
      <c r="F318" t="s">
        <v>393</v>
      </c>
      <c r="G318" t="s">
        <v>415</v>
      </c>
      <c r="H318" s="45">
        <v>1</v>
      </c>
    </row>
    <row r="319" spans="1:8" ht="25.5" x14ac:dyDescent="0.2">
      <c r="A319" s="13">
        <v>318</v>
      </c>
      <c r="B319" s="13" t="s">
        <v>842</v>
      </c>
      <c r="C319" s="13" t="s">
        <v>757</v>
      </c>
      <c r="D319" s="13" t="s">
        <v>843</v>
      </c>
      <c r="F319" t="s">
        <v>708</v>
      </c>
      <c r="G319" t="s">
        <v>707</v>
      </c>
      <c r="H319" s="45">
        <v>1</v>
      </c>
    </row>
    <row r="320" spans="1:8" ht="25.5" x14ac:dyDescent="0.2">
      <c r="A320" s="12">
        <v>319</v>
      </c>
      <c r="B320" s="12" t="s">
        <v>844</v>
      </c>
      <c r="C320" s="12" t="s">
        <v>585</v>
      </c>
      <c r="D320" s="12" t="s">
        <v>845</v>
      </c>
      <c r="F320" t="s">
        <v>708</v>
      </c>
      <c r="G320" t="s">
        <v>710</v>
      </c>
      <c r="H320" s="45">
        <v>1</v>
      </c>
    </row>
    <row r="321" spans="1:8" ht="25.5" x14ac:dyDescent="0.2">
      <c r="A321" s="13">
        <v>320</v>
      </c>
      <c r="B321" s="13" t="s">
        <v>846</v>
      </c>
      <c r="C321" s="13" t="s">
        <v>393</v>
      </c>
      <c r="D321" s="13" t="s">
        <v>847</v>
      </c>
      <c r="F321" t="s">
        <v>418</v>
      </c>
      <c r="G321" t="s">
        <v>417</v>
      </c>
      <c r="H321" s="45">
        <v>1</v>
      </c>
    </row>
    <row r="322" spans="1:8" ht="25.5" x14ac:dyDescent="0.2">
      <c r="A322" s="12">
        <v>321</v>
      </c>
      <c r="B322" s="12" t="s">
        <v>848</v>
      </c>
      <c r="C322" s="12" t="s">
        <v>18</v>
      </c>
      <c r="D322" s="12" t="s">
        <v>849</v>
      </c>
      <c r="F322" t="s">
        <v>418</v>
      </c>
      <c r="G322" t="s">
        <v>432</v>
      </c>
      <c r="H322" s="45">
        <v>1</v>
      </c>
    </row>
    <row r="323" spans="1:8" ht="25.5" x14ac:dyDescent="0.2">
      <c r="A323" s="13">
        <v>322</v>
      </c>
      <c r="B323" s="13" t="s">
        <v>850</v>
      </c>
      <c r="C323" s="13" t="s">
        <v>585</v>
      </c>
      <c r="D323" s="13" t="s">
        <v>851</v>
      </c>
      <c r="F323" t="s">
        <v>418</v>
      </c>
      <c r="G323" t="s">
        <v>436</v>
      </c>
      <c r="H323" s="45">
        <v>1</v>
      </c>
    </row>
    <row r="324" spans="1:8" ht="25.5" x14ac:dyDescent="0.2">
      <c r="A324" s="12">
        <v>323</v>
      </c>
      <c r="B324" s="12" t="s">
        <v>852</v>
      </c>
      <c r="C324" s="12" t="s">
        <v>18</v>
      </c>
      <c r="D324" s="12" t="s">
        <v>853</v>
      </c>
      <c r="F324" t="s">
        <v>418</v>
      </c>
      <c r="G324" t="s">
        <v>420</v>
      </c>
      <c r="H324" s="45">
        <v>1</v>
      </c>
    </row>
    <row r="325" spans="1:8" ht="25.5" x14ac:dyDescent="0.2">
      <c r="A325" s="13">
        <v>324</v>
      </c>
      <c r="B325" s="13" t="s">
        <v>854</v>
      </c>
      <c r="C325" s="13" t="s">
        <v>757</v>
      </c>
      <c r="D325" s="13" t="s">
        <v>855</v>
      </c>
      <c r="F325" t="s">
        <v>418</v>
      </c>
      <c r="G325" t="s">
        <v>563</v>
      </c>
      <c r="H325" s="45">
        <v>1</v>
      </c>
    </row>
    <row r="326" spans="1:8" ht="38.25" x14ac:dyDescent="0.2">
      <c r="A326" s="12">
        <v>325</v>
      </c>
      <c r="B326" s="12" t="s">
        <v>856</v>
      </c>
      <c r="C326" s="12" t="s">
        <v>585</v>
      </c>
      <c r="D326" s="12" t="s">
        <v>857</v>
      </c>
      <c r="F326" t="s">
        <v>418</v>
      </c>
      <c r="G326" t="s">
        <v>422</v>
      </c>
      <c r="H326" s="45">
        <v>1</v>
      </c>
    </row>
    <row r="327" spans="1:8" ht="25.5" x14ac:dyDescent="0.2">
      <c r="A327" s="13">
        <v>326</v>
      </c>
      <c r="B327" s="13" t="s">
        <v>858</v>
      </c>
      <c r="C327" s="13" t="s">
        <v>585</v>
      </c>
      <c r="D327" s="13" t="s">
        <v>859</v>
      </c>
      <c r="F327" t="s">
        <v>418</v>
      </c>
      <c r="G327" t="s">
        <v>829</v>
      </c>
      <c r="H327" s="45">
        <v>1</v>
      </c>
    </row>
    <row r="328" spans="1:8" ht="25.5" x14ac:dyDescent="0.2">
      <c r="A328" s="12">
        <v>327</v>
      </c>
      <c r="B328" s="12" t="s">
        <v>860</v>
      </c>
      <c r="C328" s="12" t="s">
        <v>585</v>
      </c>
      <c r="D328" s="12" t="s">
        <v>861</v>
      </c>
      <c r="F328" t="s">
        <v>418</v>
      </c>
      <c r="G328" t="s">
        <v>424</v>
      </c>
      <c r="H328" s="45">
        <v>1</v>
      </c>
    </row>
    <row r="329" spans="1:8" x14ac:dyDescent="0.2">
      <c r="A329" s="13">
        <v>328</v>
      </c>
      <c r="B329" s="13" t="s">
        <v>862</v>
      </c>
      <c r="C329" s="13" t="s">
        <v>226</v>
      </c>
      <c r="D329" s="13" t="s">
        <v>863</v>
      </c>
      <c r="F329" t="s">
        <v>418</v>
      </c>
      <c r="G329" t="s">
        <v>426</v>
      </c>
      <c r="H329" s="45">
        <v>1</v>
      </c>
    </row>
    <row r="330" spans="1:8" ht="25.5" x14ac:dyDescent="0.2">
      <c r="A330" s="12">
        <v>329</v>
      </c>
      <c r="B330" s="12" t="s">
        <v>864</v>
      </c>
      <c r="C330" s="12" t="s">
        <v>557</v>
      </c>
      <c r="D330" s="12" t="s">
        <v>865</v>
      </c>
      <c r="F330" t="s">
        <v>418</v>
      </c>
      <c r="G330" t="s">
        <v>428</v>
      </c>
      <c r="H330" s="45">
        <v>1</v>
      </c>
    </row>
    <row r="331" spans="1:8" ht="25.5" x14ac:dyDescent="0.2">
      <c r="A331" s="13">
        <v>330</v>
      </c>
      <c r="B331" s="13" t="s">
        <v>866</v>
      </c>
      <c r="C331" s="13" t="s">
        <v>393</v>
      </c>
      <c r="D331" s="13" t="s">
        <v>867</v>
      </c>
      <c r="F331" t="s">
        <v>418</v>
      </c>
      <c r="G331" t="s">
        <v>820</v>
      </c>
      <c r="H331" s="45">
        <v>1</v>
      </c>
    </row>
    <row r="332" spans="1:8" ht="25.5" x14ac:dyDescent="0.2">
      <c r="A332" s="12">
        <v>331</v>
      </c>
      <c r="B332" s="12" t="s">
        <v>868</v>
      </c>
      <c r="C332" s="12" t="s">
        <v>869</v>
      </c>
      <c r="D332" s="12" t="s">
        <v>870</v>
      </c>
      <c r="F332" t="s">
        <v>418</v>
      </c>
      <c r="G332" t="s">
        <v>561</v>
      </c>
      <c r="H332" s="45">
        <v>1</v>
      </c>
    </row>
    <row r="333" spans="1:8" ht="25.5" x14ac:dyDescent="0.2">
      <c r="A333" s="13">
        <v>332</v>
      </c>
      <c r="B333" s="13" t="s">
        <v>871</v>
      </c>
      <c r="C333" s="13" t="s">
        <v>757</v>
      </c>
      <c r="D333" s="13" t="s">
        <v>872</v>
      </c>
      <c r="F333" t="s">
        <v>418</v>
      </c>
      <c r="G333" t="s">
        <v>804</v>
      </c>
      <c r="H333" s="45">
        <v>1</v>
      </c>
    </row>
    <row r="334" spans="1:8" ht="25.5" x14ac:dyDescent="0.2">
      <c r="A334" s="12">
        <v>333</v>
      </c>
      <c r="B334" s="12" t="s">
        <v>873</v>
      </c>
      <c r="C334" s="12" t="s">
        <v>226</v>
      </c>
      <c r="D334" s="12" t="s">
        <v>874</v>
      </c>
      <c r="F334" t="s">
        <v>418</v>
      </c>
      <c r="G334" t="s">
        <v>567</v>
      </c>
      <c r="H334" s="45">
        <v>1</v>
      </c>
    </row>
    <row r="335" spans="1:8" ht="25.5" x14ac:dyDescent="0.2">
      <c r="A335" s="13">
        <v>334</v>
      </c>
      <c r="B335" s="13" t="s">
        <v>875</v>
      </c>
      <c r="C335" s="13" t="s">
        <v>585</v>
      </c>
      <c r="D335" s="13" t="s">
        <v>876</v>
      </c>
      <c r="F335" t="s">
        <v>418</v>
      </c>
      <c r="G335" t="s">
        <v>444</v>
      </c>
      <c r="H335" s="45">
        <v>1</v>
      </c>
    </row>
    <row r="336" spans="1:8" x14ac:dyDescent="0.2">
      <c r="A336" s="12">
        <v>336</v>
      </c>
      <c r="B336" s="12" t="s">
        <v>877</v>
      </c>
      <c r="C336" s="12" t="s">
        <v>585</v>
      </c>
      <c r="D336" s="12" t="s">
        <v>878</v>
      </c>
      <c r="F336" t="s">
        <v>418</v>
      </c>
      <c r="G336" t="s">
        <v>434</v>
      </c>
      <c r="H336" s="45">
        <v>1</v>
      </c>
    </row>
    <row r="337" spans="1:8" x14ac:dyDescent="0.2">
      <c r="A337" s="13">
        <v>337</v>
      </c>
      <c r="B337" s="13" t="s">
        <v>879</v>
      </c>
      <c r="C337" s="13" t="s">
        <v>494</v>
      </c>
      <c r="D337" s="13" t="s">
        <v>880</v>
      </c>
      <c r="F337" t="s">
        <v>418</v>
      </c>
      <c r="G337" t="s">
        <v>442</v>
      </c>
      <c r="H337" s="45">
        <v>1</v>
      </c>
    </row>
    <row r="338" spans="1:8" ht="25.5" x14ac:dyDescent="0.2">
      <c r="A338" s="12">
        <v>338</v>
      </c>
      <c r="B338" s="12" t="s">
        <v>881</v>
      </c>
      <c r="C338" s="12" t="s">
        <v>882</v>
      </c>
      <c r="D338" s="12" t="s">
        <v>883</v>
      </c>
      <c r="F338" t="s">
        <v>418</v>
      </c>
      <c r="G338" t="s">
        <v>440</v>
      </c>
      <c r="H338" s="45">
        <v>1</v>
      </c>
    </row>
    <row r="339" spans="1:8" x14ac:dyDescent="0.2">
      <c r="A339" s="13">
        <v>341</v>
      </c>
      <c r="B339" s="13" t="s">
        <v>884</v>
      </c>
      <c r="C339" s="13" t="s">
        <v>585</v>
      </c>
      <c r="D339" s="13" t="s">
        <v>885</v>
      </c>
      <c r="F339" t="s">
        <v>418</v>
      </c>
      <c r="G339" t="s">
        <v>438</v>
      </c>
      <c r="H339" s="45">
        <v>1</v>
      </c>
    </row>
    <row r="340" spans="1:8" x14ac:dyDescent="0.2">
      <c r="A340" s="12">
        <v>342</v>
      </c>
      <c r="B340" s="12" t="s">
        <v>886</v>
      </c>
      <c r="C340" s="12" t="s">
        <v>585</v>
      </c>
      <c r="D340" s="12" t="s">
        <v>887</v>
      </c>
      <c r="F340" t="s">
        <v>418</v>
      </c>
      <c r="G340" t="s">
        <v>559</v>
      </c>
      <c r="H340" s="45">
        <v>1</v>
      </c>
    </row>
    <row r="341" spans="1:8" ht="25.5" x14ac:dyDescent="0.2">
      <c r="A341" s="13">
        <v>343</v>
      </c>
      <c r="B341" s="13" t="s">
        <v>888</v>
      </c>
      <c r="C341" s="13" t="s">
        <v>757</v>
      </c>
      <c r="D341" s="13" t="s">
        <v>889</v>
      </c>
      <c r="F341" t="s">
        <v>418</v>
      </c>
      <c r="G341" t="s">
        <v>565</v>
      </c>
      <c r="H341" s="45">
        <v>1</v>
      </c>
    </row>
    <row r="342" spans="1:8" x14ac:dyDescent="0.2">
      <c r="A342" s="12">
        <v>344</v>
      </c>
      <c r="B342" s="12" t="s">
        <v>1441</v>
      </c>
      <c r="C342" s="12" t="s">
        <v>1442</v>
      </c>
      <c r="D342" s="12" t="s">
        <v>1443</v>
      </c>
      <c r="F342" t="s">
        <v>418</v>
      </c>
      <c r="G342" t="s">
        <v>430</v>
      </c>
      <c r="H342" s="45">
        <v>1</v>
      </c>
    </row>
    <row r="343" spans="1:8" x14ac:dyDescent="0.2">
      <c r="A343" s="94">
        <v>345</v>
      </c>
      <c r="B343" s="96" t="s">
        <v>1755</v>
      </c>
      <c r="C343" s="95" t="s">
        <v>338</v>
      </c>
      <c r="D343" s="96" t="s">
        <v>1756</v>
      </c>
      <c r="F343" t="s">
        <v>1394</v>
      </c>
      <c r="G343" t="s">
        <v>1394</v>
      </c>
      <c r="H343" s="45"/>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6"/>
  <sheetViews>
    <sheetView workbookViewId="0">
      <pane xSplit="2" ySplit="1" topLeftCell="C2" activePane="bottomRight" state="frozen"/>
      <selection pane="topRight" activeCell="B1" sqref="B1"/>
      <selection pane="bottomLeft" activeCell="A2" sqref="A2"/>
      <selection pane="bottomRight" activeCell="C16" sqref="A1:C16"/>
    </sheetView>
  </sheetViews>
  <sheetFormatPr defaultColWidth="8.85546875" defaultRowHeight="12.75" x14ac:dyDescent="0.2"/>
  <cols>
    <col min="1" max="1" width="11.42578125" bestFit="1" customWidth="1"/>
    <col min="2" max="2" width="28.85546875" bestFit="1" customWidth="1"/>
    <col min="3" max="3" width="100.7109375" style="2" customWidth="1"/>
  </cols>
  <sheetData>
    <row r="1" spans="1:3" x14ac:dyDescent="0.2">
      <c r="A1" s="9" t="s">
        <v>1334</v>
      </c>
      <c r="B1" s="9" t="s">
        <v>136</v>
      </c>
      <c r="C1" s="10" t="s">
        <v>137</v>
      </c>
    </row>
    <row r="2" spans="1:3" x14ac:dyDescent="0.2">
      <c r="A2">
        <v>1</v>
      </c>
      <c r="B2" t="s">
        <v>49</v>
      </c>
      <c r="C2" s="2" t="s">
        <v>138</v>
      </c>
    </row>
    <row r="3" spans="1:3" ht="51" x14ac:dyDescent="0.2">
      <c r="A3">
        <v>2</v>
      </c>
      <c r="B3" t="s">
        <v>139</v>
      </c>
      <c r="C3" s="2" t="s">
        <v>140</v>
      </c>
    </row>
    <row r="4" spans="1:3" ht="25.5" x14ac:dyDescent="0.2">
      <c r="A4">
        <v>3</v>
      </c>
      <c r="B4" t="s">
        <v>133</v>
      </c>
      <c r="C4" s="2" t="s">
        <v>141</v>
      </c>
    </row>
    <row r="5" spans="1:3" x14ac:dyDescent="0.2">
      <c r="A5">
        <v>4</v>
      </c>
      <c r="B5" t="s">
        <v>142</v>
      </c>
      <c r="C5" s="2" t="s">
        <v>143</v>
      </c>
    </row>
    <row r="6" spans="1:3" ht="25.5" x14ac:dyDescent="0.2">
      <c r="A6">
        <v>5</v>
      </c>
      <c r="B6" t="s">
        <v>144</v>
      </c>
      <c r="C6" s="2" t="s">
        <v>145</v>
      </c>
    </row>
    <row r="7" spans="1:3" ht="25.5" x14ac:dyDescent="0.2">
      <c r="A7">
        <v>6</v>
      </c>
      <c r="B7" t="s">
        <v>146</v>
      </c>
      <c r="C7" s="2" t="s">
        <v>147</v>
      </c>
    </row>
    <row r="8" spans="1:3" ht="25.5" x14ac:dyDescent="0.2">
      <c r="A8">
        <v>7</v>
      </c>
      <c r="B8" t="s">
        <v>148</v>
      </c>
      <c r="C8" s="2" t="s">
        <v>149</v>
      </c>
    </row>
    <row r="9" spans="1:3" ht="25.5" x14ac:dyDescent="0.2">
      <c r="A9">
        <v>8</v>
      </c>
      <c r="B9" t="s">
        <v>54</v>
      </c>
      <c r="C9" s="2" t="s">
        <v>150</v>
      </c>
    </row>
    <row r="10" spans="1:3" x14ac:dyDescent="0.2">
      <c r="A10">
        <v>9</v>
      </c>
      <c r="B10" t="s">
        <v>151</v>
      </c>
      <c r="C10" s="2" t="s">
        <v>152</v>
      </c>
    </row>
    <row r="11" spans="1:3" ht="25.5" x14ac:dyDescent="0.2">
      <c r="A11">
        <v>10</v>
      </c>
      <c r="B11" t="s">
        <v>53</v>
      </c>
      <c r="C11" s="2" t="s">
        <v>153</v>
      </c>
    </row>
    <row r="12" spans="1:3" ht="25.5" x14ac:dyDescent="0.2">
      <c r="A12">
        <v>11</v>
      </c>
      <c r="B12" t="s">
        <v>154</v>
      </c>
      <c r="C12" s="2" t="s">
        <v>155</v>
      </c>
    </row>
    <row r="13" spans="1:3" ht="38.25" x14ac:dyDescent="0.2">
      <c r="A13">
        <v>12</v>
      </c>
      <c r="B13" t="s">
        <v>156</v>
      </c>
      <c r="C13" s="2" t="s">
        <v>157</v>
      </c>
    </row>
    <row r="14" spans="1:3" ht="38.25" x14ac:dyDescent="0.2">
      <c r="A14">
        <v>13</v>
      </c>
      <c r="B14" t="s">
        <v>158</v>
      </c>
      <c r="C14" s="2" t="s">
        <v>159</v>
      </c>
    </row>
    <row r="15" spans="1:3" x14ac:dyDescent="0.2">
      <c r="A15">
        <v>14</v>
      </c>
      <c r="B15" t="s">
        <v>160</v>
      </c>
      <c r="C15" s="2" t="s">
        <v>161</v>
      </c>
    </row>
    <row r="16" spans="1:3" ht="38.25" x14ac:dyDescent="0.2">
      <c r="A16">
        <v>15</v>
      </c>
      <c r="B16" t="s">
        <v>162</v>
      </c>
      <c r="C16" s="2" t="s">
        <v>163</v>
      </c>
    </row>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sqref="A1:B4"/>
    </sheetView>
  </sheetViews>
  <sheetFormatPr defaultColWidth="8.85546875" defaultRowHeight="12.75" x14ac:dyDescent="0.2"/>
  <cols>
    <col min="1" max="1" width="13.42578125" bestFit="1" customWidth="1"/>
    <col min="2" max="2" width="12.140625" bestFit="1" customWidth="1"/>
  </cols>
  <sheetData>
    <row r="1" spans="1:2" x14ac:dyDescent="0.2">
      <c r="A1" t="s">
        <v>1377</v>
      </c>
      <c r="B1" t="s">
        <v>1378</v>
      </c>
    </row>
    <row r="2" spans="1:2" x14ac:dyDescent="0.2">
      <c r="A2">
        <v>1</v>
      </c>
      <c r="B2" t="s">
        <v>124</v>
      </c>
    </row>
    <row r="3" spans="1:2" x14ac:dyDescent="0.2">
      <c r="A3">
        <v>2</v>
      </c>
      <c r="B3" t="s">
        <v>113</v>
      </c>
    </row>
    <row r="4" spans="1:2" x14ac:dyDescent="0.2">
      <c r="A4">
        <v>3</v>
      </c>
      <c r="B4" t="s">
        <v>1379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00"/>
  <sheetViews>
    <sheetView workbookViewId="0">
      <pane xSplit="1" ySplit="1" topLeftCell="B2" activePane="bottomRight" state="frozen"/>
      <selection pane="topRight" activeCell="B1" sqref="B1"/>
      <selection pane="bottomLeft" activeCell="A2" sqref="A2"/>
      <selection pane="bottomRight" activeCell="D19" sqref="D19"/>
    </sheetView>
  </sheetViews>
  <sheetFormatPr defaultColWidth="8.85546875" defaultRowHeight="12.75" x14ac:dyDescent="0.2"/>
  <cols>
    <col min="1" max="1" width="14" bestFit="1" customWidth="1"/>
    <col min="2" max="2" width="8.7109375" bestFit="1" customWidth="1"/>
    <col min="3" max="3" width="18" bestFit="1" customWidth="1"/>
    <col min="4" max="4" width="21.42578125" style="6" bestFit="1" customWidth="1"/>
    <col min="5" max="5" width="19.42578125" bestFit="1" customWidth="1"/>
    <col min="6" max="6" width="9" bestFit="1" customWidth="1"/>
    <col min="7" max="7" width="21.42578125" style="6" customWidth="1"/>
    <col min="8" max="8" width="10.42578125" bestFit="1" customWidth="1"/>
  </cols>
  <sheetData>
    <row r="1" spans="1:12" x14ac:dyDescent="0.2">
      <c r="A1" t="s">
        <v>78</v>
      </c>
      <c r="B1" t="s">
        <v>64</v>
      </c>
      <c r="C1" s="7" t="s">
        <v>1751</v>
      </c>
      <c r="D1" s="8" t="s">
        <v>1752</v>
      </c>
      <c r="E1" s="7" t="s">
        <v>119</v>
      </c>
      <c r="F1" t="s">
        <v>87</v>
      </c>
      <c r="G1" s="8" t="s">
        <v>1753</v>
      </c>
      <c r="H1" t="s">
        <v>57</v>
      </c>
      <c r="L1" s="70" t="s">
        <v>1408</v>
      </c>
    </row>
    <row r="2" spans="1:12" x14ac:dyDescent="0.2">
      <c r="A2">
        <v>1</v>
      </c>
      <c r="B2">
        <v>1</v>
      </c>
      <c r="C2" t="s">
        <v>111</v>
      </c>
      <c r="D2" s="6">
        <v>40366.440972222219</v>
      </c>
      <c r="E2" t="s">
        <v>120</v>
      </c>
      <c r="F2">
        <v>21</v>
      </c>
      <c r="L2" s="70" t="str">
        <f>CONCATENATE(B2,C2,D2)</f>
        <v>1Winsitu40366.4409722222</v>
      </c>
    </row>
    <row r="3" spans="1:12" x14ac:dyDescent="0.2">
      <c r="A3">
        <v>2</v>
      </c>
      <c r="B3">
        <v>1</v>
      </c>
      <c r="C3" t="s">
        <v>111</v>
      </c>
      <c r="D3" s="6">
        <v>40500.575694444444</v>
      </c>
      <c r="E3" t="s">
        <v>121</v>
      </c>
      <c r="F3">
        <v>17</v>
      </c>
      <c r="L3" s="70" t="str">
        <f t="shared" ref="L3:L48" si="0">CONCATENATE(B3,C3,D3)</f>
        <v>1Winsitu40500.5756944444</v>
      </c>
    </row>
    <row r="4" spans="1:12" x14ac:dyDescent="0.2">
      <c r="A4">
        <v>3</v>
      </c>
      <c r="B4">
        <v>1</v>
      </c>
      <c r="C4" t="s">
        <v>111</v>
      </c>
      <c r="D4" s="6">
        <v>40620.647916666669</v>
      </c>
      <c r="E4" t="s">
        <v>121</v>
      </c>
      <c r="F4">
        <v>17</v>
      </c>
      <c r="L4" s="70" t="str">
        <f t="shared" si="0"/>
        <v>1Winsitu40620.6479166667</v>
      </c>
    </row>
    <row r="5" spans="1:12" x14ac:dyDescent="0.2">
      <c r="A5">
        <v>4</v>
      </c>
      <c r="B5">
        <v>2</v>
      </c>
      <c r="C5" t="s">
        <v>111</v>
      </c>
      <c r="D5" s="6">
        <v>40366.425694444442</v>
      </c>
      <c r="E5" t="s">
        <v>120</v>
      </c>
      <c r="F5">
        <v>17</v>
      </c>
      <c r="L5" s="70" t="str">
        <f t="shared" si="0"/>
        <v>2Winsitu40366.4256944444</v>
      </c>
    </row>
    <row r="6" spans="1:12" x14ac:dyDescent="0.2">
      <c r="A6">
        <v>5</v>
      </c>
      <c r="B6">
        <v>2</v>
      </c>
      <c r="C6" t="s">
        <v>111</v>
      </c>
      <c r="D6" s="6">
        <v>40500.556944444441</v>
      </c>
      <c r="E6" t="s">
        <v>121</v>
      </c>
      <c r="F6">
        <v>17</v>
      </c>
      <c r="L6" s="70" t="str">
        <f t="shared" si="0"/>
        <v>2Winsitu40500.5569444444</v>
      </c>
    </row>
    <row r="7" spans="1:12" x14ac:dyDescent="0.2">
      <c r="A7">
        <v>6</v>
      </c>
      <c r="B7">
        <v>2</v>
      </c>
      <c r="C7" t="s">
        <v>111</v>
      </c>
      <c r="D7" s="6">
        <v>40620.63958333333</v>
      </c>
      <c r="E7" t="s">
        <v>121</v>
      </c>
      <c r="F7">
        <v>17</v>
      </c>
      <c r="L7" s="70" t="str">
        <f t="shared" si="0"/>
        <v>2Winsitu40620.6395833333</v>
      </c>
    </row>
    <row r="8" spans="1:12" x14ac:dyDescent="0.2">
      <c r="A8">
        <v>7</v>
      </c>
      <c r="B8">
        <v>3</v>
      </c>
      <c r="C8" t="s">
        <v>111</v>
      </c>
      <c r="D8" s="8">
        <v>39871.625694444447</v>
      </c>
      <c r="E8" t="s">
        <v>121</v>
      </c>
      <c r="F8">
        <v>17</v>
      </c>
      <c r="G8" s="8"/>
      <c r="L8" s="70" t="str">
        <f t="shared" si="0"/>
        <v>3Winsitu39871.6256944444</v>
      </c>
    </row>
    <row r="9" spans="1:12" x14ac:dyDescent="0.2">
      <c r="A9">
        <v>8</v>
      </c>
      <c r="B9">
        <v>3</v>
      </c>
      <c r="C9" t="s">
        <v>111</v>
      </c>
      <c r="D9" s="6">
        <v>40620.63958333333</v>
      </c>
      <c r="E9" t="s">
        <v>121</v>
      </c>
      <c r="F9">
        <v>17</v>
      </c>
      <c r="L9" s="70" t="str">
        <f t="shared" si="0"/>
        <v>3Winsitu40620.6395833333</v>
      </c>
    </row>
    <row r="10" spans="1:12" x14ac:dyDescent="0.2">
      <c r="A10">
        <v>9</v>
      </c>
      <c r="B10">
        <v>4</v>
      </c>
      <c r="C10" s="7" t="s">
        <v>123</v>
      </c>
      <c r="D10" s="6">
        <v>39457.513888888891</v>
      </c>
      <c r="E10" t="s">
        <v>121</v>
      </c>
      <c r="F10">
        <v>17</v>
      </c>
      <c r="L10" s="70" t="str">
        <f t="shared" si="0"/>
        <v>4Levellogger 3.2.139457.5138888889</v>
      </c>
    </row>
    <row r="11" spans="1:12" x14ac:dyDescent="0.2">
      <c r="A11">
        <v>10</v>
      </c>
      <c r="B11">
        <v>4</v>
      </c>
      <c r="C11" s="7" t="s">
        <v>123</v>
      </c>
      <c r="D11" s="6">
        <v>39531.635416666664</v>
      </c>
      <c r="E11" t="s">
        <v>120</v>
      </c>
      <c r="F11">
        <v>17</v>
      </c>
      <c r="L11" s="70" t="str">
        <f t="shared" si="0"/>
        <v>4Levellogger 3.2.139531.6354166667</v>
      </c>
    </row>
    <row r="12" spans="1:12" x14ac:dyDescent="0.2">
      <c r="A12">
        <v>11</v>
      </c>
      <c r="B12">
        <v>4</v>
      </c>
      <c r="C12" s="7" t="s">
        <v>123</v>
      </c>
      <c r="D12" s="6">
        <v>39773.545138888891</v>
      </c>
      <c r="E12" t="s">
        <v>121</v>
      </c>
      <c r="F12">
        <v>17</v>
      </c>
      <c r="L12" s="70" t="str">
        <f t="shared" si="0"/>
        <v>4Levellogger 3.2.139773.5451388889</v>
      </c>
    </row>
    <row r="13" spans="1:12" x14ac:dyDescent="0.2">
      <c r="A13">
        <v>12</v>
      </c>
      <c r="B13">
        <v>4</v>
      </c>
      <c r="C13" s="7" t="s">
        <v>123</v>
      </c>
      <c r="D13" s="6">
        <v>39888.552083333336</v>
      </c>
      <c r="E13" t="s">
        <v>120</v>
      </c>
      <c r="F13">
        <v>17</v>
      </c>
      <c r="L13" s="70" t="str">
        <f t="shared" si="0"/>
        <v>4Levellogger 3.2.139888.5520833333</v>
      </c>
    </row>
    <row r="14" spans="1:12" x14ac:dyDescent="0.2">
      <c r="A14">
        <v>13</v>
      </c>
      <c r="B14">
        <v>4</v>
      </c>
      <c r="C14" s="7" t="s">
        <v>123</v>
      </c>
      <c r="D14" s="6">
        <v>39910.59375</v>
      </c>
      <c r="E14" t="s">
        <v>120</v>
      </c>
      <c r="F14">
        <v>17</v>
      </c>
      <c r="H14" s="7" t="s">
        <v>125</v>
      </c>
      <c r="L14" s="70" t="str">
        <f t="shared" si="0"/>
        <v>4Levellogger 3.2.139910.59375</v>
      </c>
    </row>
    <row r="15" spans="1:12" x14ac:dyDescent="0.2">
      <c r="A15">
        <v>14</v>
      </c>
      <c r="B15">
        <v>4</v>
      </c>
      <c r="C15" s="7" t="s">
        <v>123</v>
      </c>
      <c r="D15" s="6">
        <v>40232.53125</v>
      </c>
      <c r="E15" t="s">
        <v>121</v>
      </c>
      <c r="F15">
        <v>17</v>
      </c>
      <c r="L15" s="70" t="str">
        <f t="shared" si="0"/>
        <v>4Levellogger 3.2.140232.53125</v>
      </c>
    </row>
    <row r="16" spans="1:12" x14ac:dyDescent="0.2">
      <c r="A16">
        <v>15</v>
      </c>
      <c r="B16">
        <v>4</v>
      </c>
      <c r="C16" s="7" t="s">
        <v>123</v>
      </c>
      <c r="D16" s="6">
        <v>40597.569444444445</v>
      </c>
      <c r="E16" t="s">
        <v>121</v>
      </c>
      <c r="F16">
        <v>17</v>
      </c>
      <c r="L16" s="70" t="str">
        <f t="shared" si="0"/>
        <v>4Levellogger 3.2.140597.5694444444</v>
      </c>
    </row>
    <row r="17" spans="1:12" x14ac:dyDescent="0.2">
      <c r="A17">
        <v>16</v>
      </c>
      <c r="B17">
        <v>5</v>
      </c>
      <c r="C17" s="7" t="s">
        <v>123</v>
      </c>
      <c r="D17" s="6">
        <v>39457.513888888891</v>
      </c>
      <c r="E17" t="s">
        <v>121</v>
      </c>
      <c r="F17">
        <v>17</v>
      </c>
      <c r="L17" s="70" t="str">
        <f>CONCATENATE(B17,C17,D17)</f>
        <v>5Levellogger 3.2.139457.5138888889</v>
      </c>
    </row>
    <row r="18" spans="1:12" x14ac:dyDescent="0.2">
      <c r="A18">
        <v>17</v>
      </c>
      <c r="B18">
        <v>5</v>
      </c>
      <c r="C18" s="7" t="s">
        <v>123</v>
      </c>
      <c r="D18" s="6">
        <v>39531.635416666664</v>
      </c>
      <c r="E18" t="s">
        <v>120</v>
      </c>
      <c r="F18">
        <v>17</v>
      </c>
      <c r="L18" s="70" t="str">
        <f t="shared" si="0"/>
        <v>5Levellogger 3.2.139531.6354166667</v>
      </c>
    </row>
    <row r="19" spans="1:12" x14ac:dyDescent="0.2">
      <c r="A19">
        <v>18</v>
      </c>
      <c r="B19">
        <v>5</v>
      </c>
      <c r="C19" s="7" t="s">
        <v>123</v>
      </c>
      <c r="D19" s="6">
        <v>39773.545138888891</v>
      </c>
      <c r="E19" t="s">
        <v>121</v>
      </c>
      <c r="F19">
        <v>17</v>
      </c>
      <c r="L19" s="70" t="str">
        <f t="shared" si="0"/>
        <v>5Levellogger 3.2.139773.5451388889</v>
      </c>
    </row>
    <row r="20" spans="1:12" x14ac:dyDescent="0.2">
      <c r="A20">
        <v>19</v>
      </c>
      <c r="B20">
        <v>5</v>
      </c>
      <c r="C20" s="7" t="s">
        <v>123</v>
      </c>
      <c r="D20" s="6">
        <v>39888.552083333336</v>
      </c>
      <c r="E20" t="s">
        <v>120</v>
      </c>
      <c r="F20">
        <v>17</v>
      </c>
      <c r="L20" s="70" t="str">
        <f t="shared" si="0"/>
        <v>5Levellogger 3.2.139888.5520833333</v>
      </c>
    </row>
    <row r="21" spans="1:12" x14ac:dyDescent="0.2">
      <c r="A21">
        <v>20</v>
      </c>
      <c r="B21">
        <v>5</v>
      </c>
      <c r="C21" s="7" t="s">
        <v>123</v>
      </c>
      <c r="D21" s="6">
        <v>39910.59375</v>
      </c>
      <c r="E21" t="s">
        <v>120</v>
      </c>
      <c r="F21" s="7">
        <v>17</v>
      </c>
      <c r="H21" s="7" t="s">
        <v>125</v>
      </c>
      <c r="L21" s="70" t="str">
        <f t="shared" si="0"/>
        <v>5Levellogger 3.2.139910.59375</v>
      </c>
    </row>
    <row r="22" spans="1:12" x14ac:dyDescent="0.2">
      <c r="A22">
        <v>21</v>
      </c>
      <c r="B22">
        <v>5</v>
      </c>
      <c r="C22" s="7" t="s">
        <v>123</v>
      </c>
      <c r="D22" s="6">
        <v>40232.53125</v>
      </c>
      <c r="E22" t="s">
        <v>121</v>
      </c>
      <c r="F22">
        <v>17</v>
      </c>
      <c r="L22" s="70" t="str">
        <f t="shared" si="0"/>
        <v>5Levellogger 3.2.140232.53125</v>
      </c>
    </row>
    <row r="23" spans="1:12" x14ac:dyDescent="0.2">
      <c r="A23">
        <v>22</v>
      </c>
      <c r="B23">
        <v>5</v>
      </c>
      <c r="C23" s="7" t="s">
        <v>123</v>
      </c>
      <c r="D23" s="6">
        <v>40597.569444444445</v>
      </c>
      <c r="E23" t="s">
        <v>121</v>
      </c>
      <c r="F23">
        <v>17</v>
      </c>
      <c r="L23" s="70" t="str">
        <f t="shared" si="0"/>
        <v>5Levellogger 3.2.140597.5694444444</v>
      </c>
    </row>
    <row r="24" spans="1:12" x14ac:dyDescent="0.2">
      <c r="A24">
        <v>23</v>
      </c>
      <c r="B24">
        <v>6</v>
      </c>
      <c r="C24" s="7" t="s">
        <v>123</v>
      </c>
      <c r="D24" s="6">
        <v>39916.625</v>
      </c>
      <c r="E24" t="s">
        <v>120</v>
      </c>
      <c r="F24">
        <v>18</v>
      </c>
      <c r="L24" s="70" t="str">
        <f t="shared" si="0"/>
        <v>6Levellogger 3.2.139916.625</v>
      </c>
    </row>
    <row r="25" spans="1:12" x14ac:dyDescent="0.2">
      <c r="A25">
        <v>24</v>
      </c>
      <c r="B25">
        <v>6</v>
      </c>
      <c r="C25" s="7" t="s">
        <v>123</v>
      </c>
      <c r="D25" s="6">
        <v>40599.5625</v>
      </c>
      <c r="E25" t="s">
        <v>121</v>
      </c>
      <c r="F25">
        <v>17</v>
      </c>
      <c r="L25" s="70" t="str">
        <f t="shared" si="0"/>
        <v>6Levellogger 3.2.140599.5625</v>
      </c>
    </row>
    <row r="26" spans="1:12" x14ac:dyDescent="0.2">
      <c r="A26">
        <v>25</v>
      </c>
      <c r="B26">
        <v>7</v>
      </c>
      <c r="C26" s="7" t="s">
        <v>123</v>
      </c>
      <c r="D26" s="6">
        <v>39912.625</v>
      </c>
      <c r="E26" t="s">
        <v>120</v>
      </c>
      <c r="F26">
        <v>18</v>
      </c>
      <c r="L26" s="70" t="str">
        <f t="shared" si="0"/>
        <v>7Levellogger 3.2.139912.625</v>
      </c>
    </row>
    <row r="27" spans="1:12" x14ac:dyDescent="0.2">
      <c r="A27">
        <v>26</v>
      </c>
      <c r="B27">
        <v>7</v>
      </c>
      <c r="C27" s="7" t="s">
        <v>123</v>
      </c>
      <c r="D27" s="6">
        <v>40599.59375</v>
      </c>
      <c r="E27" t="s">
        <v>121</v>
      </c>
      <c r="F27">
        <v>17</v>
      </c>
      <c r="L27" s="70" t="str">
        <f t="shared" si="0"/>
        <v>7Levellogger 3.2.140599.59375</v>
      </c>
    </row>
    <row r="28" spans="1:12" x14ac:dyDescent="0.2">
      <c r="A28">
        <v>27</v>
      </c>
      <c r="B28">
        <v>8</v>
      </c>
      <c r="C28" s="7" t="s">
        <v>128</v>
      </c>
      <c r="D28" s="6">
        <v>40632.566666666666</v>
      </c>
      <c r="E28" t="s">
        <v>120</v>
      </c>
      <c r="F28">
        <v>17</v>
      </c>
      <c r="H28" t="s">
        <v>126</v>
      </c>
      <c r="L28" s="70" t="str">
        <f t="shared" si="0"/>
        <v>8Telog-DOS40632.5666666667</v>
      </c>
    </row>
    <row r="29" spans="1:12" x14ac:dyDescent="0.2">
      <c r="A29">
        <v>28</v>
      </c>
      <c r="B29">
        <v>8</v>
      </c>
      <c r="C29" s="7" t="s">
        <v>128</v>
      </c>
      <c r="D29" s="6">
        <v>40640.76666666667</v>
      </c>
      <c r="E29" t="s">
        <v>120</v>
      </c>
      <c r="F29">
        <v>17</v>
      </c>
      <c r="H29" t="s">
        <v>127</v>
      </c>
      <c r="L29" s="70" t="str">
        <f t="shared" si="0"/>
        <v>8Telog-DOS40640.7666666667</v>
      </c>
    </row>
    <row r="30" spans="1:12" x14ac:dyDescent="0.2">
      <c r="A30">
        <v>29</v>
      </c>
      <c r="B30">
        <v>9</v>
      </c>
      <c r="C30" s="7" t="s">
        <v>128</v>
      </c>
      <c r="D30" s="6">
        <v>40597.569444444445</v>
      </c>
      <c r="E30" t="s">
        <v>121</v>
      </c>
      <c r="F30">
        <v>17</v>
      </c>
      <c r="L30" s="70" t="str">
        <f t="shared" si="0"/>
        <v>9Telog-DOS40597.5694444444</v>
      </c>
    </row>
    <row r="31" spans="1:12" x14ac:dyDescent="0.2">
      <c r="A31">
        <v>30</v>
      </c>
      <c r="B31">
        <v>10</v>
      </c>
      <c r="C31" s="7" t="s">
        <v>128</v>
      </c>
      <c r="D31" s="6">
        <v>39863.522222222222</v>
      </c>
      <c r="E31" t="s">
        <v>121</v>
      </c>
      <c r="F31">
        <v>17</v>
      </c>
      <c r="L31" s="70" t="str">
        <f t="shared" si="0"/>
        <v>10Telog-DOS39863.5222222222</v>
      </c>
    </row>
    <row r="32" spans="1:12" x14ac:dyDescent="0.2">
      <c r="A32">
        <v>31</v>
      </c>
      <c r="B32">
        <v>10</v>
      </c>
      <c r="C32" s="7" t="s">
        <v>128</v>
      </c>
      <c r="D32" s="6">
        <v>40620.681944444441</v>
      </c>
      <c r="E32" t="s">
        <v>120</v>
      </c>
      <c r="F32">
        <v>17</v>
      </c>
      <c r="L32" s="70" t="str">
        <f t="shared" si="0"/>
        <v>10Telog-DOS40620.6819444444</v>
      </c>
    </row>
    <row r="33" spans="1:12" x14ac:dyDescent="0.2">
      <c r="A33">
        <v>32</v>
      </c>
      <c r="B33">
        <v>11</v>
      </c>
      <c r="C33" s="7" t="s">
        <v>129</v>
      </c>
      <c r="D33" s="6">
        <v>39863.49722222222</v>
      </c>
      <c r="E33" t="s">
        <v>121</v>
      </c>
      <c r="F33">
        <v>17</v>
      </c>
      <c r="L33" s="70" t="str">
        <f t="shared" si="0"/>
        <v>11Teloger for Windows39863.4972222222</v>
      </c>
    </row>
    <row r="34" spans="1:12" x14ac:dyDescent="0.2">
      <c r="A34">
        <v>33</v>
      </c>
      <c r="B34">
        <v>11</v>
      </c>
      <c r="C34" s="7" t="s">
        <v>129</v>
      </c>
      <c r="D34" s="6">
        <v>40620.677083333336</v>
      </c>
      <c r="E34" t="s">
        <v>120</v>
      </c>
      <c r="F34">
        <v>17</v>
      </c>
      <c r="L34" s="70" t="str">
        <f t="shared" si="0"/>
        <v>11Teloger for Windows40620.6770833333</v>
      </c>
    </row>
    <row r="35" spans="1:12" x14ac:dyDescent="0.2">
      <c r="A35">
        <v>34</v>
      </c>
      <c r="B35">
        <v>12</v>
      </c>
      <c r="C35" s="7" t="s">
        <v>129</v>
      </c>
      <c r="D35" s="6">
        <v>39860.685416666667</v>
      </c>
      <c r="E35" t="s">
        <v>121</v>
      </c>
      <c r="F35">
        <v>17</v>
      </c>
      <c r="G35" s="6">
        <v>39871.565972222219</v>
      </c>
      <c r="L35" s="70" t="str">
        <f t="shared" si="0"/>
        <v>12Teloger for Windows39860.6854166667</v>
      </c>
    </row>
    <row r="36" spans="1:12" x14ac:dyDescent="0.2">
      <c r="A36">
        <v>35</v>
      </c>
      <c r="B36">
        <v>12</v>
      </c>
      <c r="C36" s="7" t="s">
        <v>129</v>
      </c>
      <c r="D36" s="6">
        <v>40259.664583333331</v>
      </c>
      <c r="E36" t="s">
        <v>120</v>
      </c>
      <c r="F36">
        <v>17</v>
      </c>
      <c r="L36" s="70" t="str">
        <f t="shared" si="0"/>
        <v>12Teloger for Windows40259.6645833333</v>
      </c>
    </row>
    <row r="37" spans="1:12" x14ac:dyDescent="0.2">
      <c r="A37">
        <v>36</v>
      </c>
      <c r="B37">
        <v>12</v>
      </c>
      <c r="C37" s="7" t="s">
        <v>129</v>
      </c>
      <c r="D37" s="6">
        <v>40500.668055555558</v>
      </c>
      <c r="E37" t="s">
        <v>121</v>
      </c>
      <c r="F37">
        <v>17</v>
      </c>
      <c r="L37" s="70" t="str">
        <f t="shared" si="0"/>
        <v>12Teloger for Windows40500.6680555556</v>
      </c>
    </row>
    <row r="38" spans="1:12" x14ac:dyDescent="0.2">
      <c r="A38">
        <v>37</v>
      </c>
      <c r="B38">
        <v>12</v>
      </c>
      <c r="C38" s="7" t="s">
        <v>129</v>
      </c>
      <c r="D38" s="6">
        <v>40620.689583333333</v>
      </c>
      <c r="E38" t="s">
        <v>120</v>
      </c>
      <c r="F38">
        <v>17</v>
      </c>
      <c r="L38" s="70" t="str">
        <f t="shared" si="0"/>
        <v>12Teloger for Windows40620.6895833333</v>
      </c>
    </row>
    <row r="39" spans="1:12" x14ac:dyDescent="0.2">
      <c r="A39">
        <v>38</v>
      </c>
      <c r="B39">
        <v>13</v>
      </c>
      <c r="C39" s="7" t="s">
        <v>129</v>
      </c>
      <c r="D39" s="6">
        <v>39861.714583333334</v>
      </c>
      <c r="E39" t="s">
        <v>121</v>
      </c>
      <c r="F39">
        <v>17</v>
      </c>
      <c r="G39" s="6">
        <v>39871.612500000003</v>
      </c>
      <c r="L39" s="70" t="str">
        <f t="shared" si="0"/>
        <v>13Teloger for Windows39861.7145833333</v>
      </c>
    </row>
    <row r="40" spans="1:12" x14ac:dyDescent="0.2">
      <c r="A40">
        <v>39</v>
      </c>
      <c r="B40">
        <v>13</v>
      </c>
      <c r="C40" s="7" t="s">
        <v>129</v>
      </c>
      <c r="D40" s="6">
        <v>39905.631249999999</v>
      </c>
      <c r="E40" t="s">
        <v>120</v>
      </c>
      <c r="F40">
        <v>17</v>
      </c>
      <c r="L40" s="70" t="str">
        <f t="shared" si="0"/>
        <v>13Teloger for Windows39905.63125</v>
      </c>
    </row>
    <row r="41" spans="1:12" x14ac:dyDescent="0.2">
      <c r="A41">
        <v>40</v>
      </c>
      <c r="B41">
        <v>13</v>
      </c>
      <c r="C41" s="7" t="s">
        <v>129</v>
      </c>
      <c r="E41" t="s">
        <v>121</v>
      </c>
      <c r="F41">
        <v>17</v>
      </c>
      <c r="L41" s="70" t="str">
        <f t="shared" si="0"/>
        <v>13Teloger for Windows</v>
      </c>
    </row>
    <row r="42" spans="1:12" x14ac:dyDescent="0.2">
      <c r="A42">
        <v>41</v>
      </c>
      <c r="B42">
        <v>13</v>
      </c>
      <c r="C42" s="7" t="s">
        <v>129</v>
      </c>
      <c r="D42" s="6">
        <v>40620.668055555558</v>
      </c>
      <c r="E42" t="s">
        <v>120</v>
      </c>
      <c r="F42">
        <v>17</v>
      </c>
      <c r="L42" s="70" t="str">
        <f t="shared" si="0"/>
        <v>13Teloger for Windows40620.6680555556</v>
      </c>
    </row>
    <row r="43" spans="1:12" x14ac:dyDescent="0.2">
      <c r="A43">
        <v>42</v>
      </c>
      <c r="B43">
        <v>14</v>
      </c>
      <c r="C43" s="7" t="s">
        <v>129</v>
      </c>
      <c r="D43" s="6">
        <v>40366.465277777781</v>
      </c>
      <c r="E43" t="s">
        <v>120</v>
      </c>
      <c r="F43">
        <v>48</v>
      </c>
      <c r="L43" s="70" t="str">
        <f t="shared" si="0"/>
        <v>14Teloger for Windows40366.4652777778</v>
      </c>
    </row>
    <row r="44" spans="1:12" x14ac:dyDescent="0.2">
      <c r="A44">
        <v>43</v>
      </c>
      <c r="B44">
        <v>14</v>
      </c>
      <c r="C44" s="7" t="s">
        <v>129</v>
      </c>
      <c r="D44" s="6">
        <v>40500.588888888888</v>
      </c>
      <c r="E44" t="s">
        <v>121</v>
      </c>
      <c r="F44">
        <v>17</v>
      </c>
      <c r="L44" s="70" t="str">
        <f t="shared" si="0"/>
        <v>14Teloger for Windows40500.5888888889</v>
      </c>
    </row>
    <row r="45" spans="1:12" x14ac:dyDescent="0.2">
      <c r="A45">
        <v>44</v>
      </c>
      <c r="B45">
        <v>14</v>
      </c>
      <c r="C45" s="7" t="s">
        <v>129</v>
      </c>
      <c r="D45" s="6">
        <v>40620.647916666669</v>
      </c>
      <c r="E45" t="s">
        <v>120</v>
      </c>
      <c r="F45">
        <v>17</v>
      </c>
      <c r="L45" s="70" t="str">
        <f t="shared" si="0"/>
        <v>14Teloger for Windows40620.6479166667</v>
      </c>
    </row>
    <row r="46" spans="1:12" x14ac:dyDescent="0.2">
      <c r="A46">
        <v>45</v>
      </c>
      <c r="B46">
        <v>15</v>
      </c>
      <c r="C46" t="s">
        <v>1421</v>
      </c>
      <c r="D46" s="6">
        <v>40949.71875</v>
      </c>
      <c r="E46" t="s">
        <v>121</v>
      </c>
      <c r="F46">
        <v>17</v>
      </c>
      <c r="L46" s="70" t="str">
        <f t="shared" si="0"/>
        <v>15Hoboware40949.71875</v>
      </c>
    </row>
    <row r="47" spans="1:12" x14ac:dyDescent="0.2">
      <c r="A47">
        <v>46</v>
      </c>
      <c r="B47">
        <v>16</v>
      </c>
      <c r="C47" t="s">
        <v>1421</v>
      </c>
      <c r="D47" s="6">
        <v>40949.71875</v>
      </c>
      <c r="E47" t="s">
        <v>121</v>
      </c>
      <c r="F47">
        <v>17</v>
      </c>
      <c r="H47" t="s">
        <v>1422</v>
      </c>
      <c r="L47" s="70" t="str">
        <f t="shared" si="0"/>
        <v>16Hoboware40949.71875</v>
      </c>
    </row>
    <row r="48" spans="1:12" x14ac:dyDescent="0.2">
      <c r="A48">
        <v>47</v>
      </c>
      <c r="B48">
        <v>17</v>
      </c>
      <c r="C48" t="s">
        <v>1426</v>
      </c>
      <c r="D48" s="6">
        <v>40950.635416666664</v>
      </c>
      <c r="E48" t="s">
        <v>121</v>
      </c>
      <c r="F48">
        <v>17</v>
      </c>
      <c r="H48" t="s">
        <v>1422</v>
      </c>
      <c r="L48" s="70" t="str">
        <f t="shared" si="0"/>
        <v>17Odyssey40950.6354166667</v>
      </c>
    </row>
    <row r="49" spans="1:1" x14ac:dyDescent="0.2">
      <c r="A49">
        <f>A48+1</f>
        <v>48</v>
      </c>
    </row>
    <row r="50" spans="1:1" x14ac:dyDescent="0.2">
      <c r="A50">
        <f t="shared" ref="A50:A100" si="1">A49+1</f>
        <v>49</v>
      </c>
    </row>
    <row r="51" spans="1:1" x14ac:dyDescent="0.2">
      <c r="A51">
        <f t="shared" si="1"/>
        <v>50</v>
      </c>
    </row>
    <row r="52" spans="1:1" x14ac:dyDescent="0.2">
      <c r="A52">
        <f t="shared" si="1"/>
        <v>51</v>
      </c>
    </row>
    <row r="53" spans="1:1" x14ac:dyDescent="0.2">
      <c r="A53">
        <f t="shared" si="1"/>
        <v>52</v>
      </c>
    </row>
    <row r="54" spans="1:1" x14ac:dyDescent="0.2">
      <c r="A54">
        <f t="shared" si="1"/>
        <v>53</v>
      </c>
    </row>
    <row r="55" spans="1:1" x14ac:dyDescent="0.2">
      <c r="A55">
        <f t="shared" si="1"/>
        <v>54</v>
      </c>
    </row>
    <row r="56" spans="1:1" x14ac:dyDescent="0.2">
      <c r="A56">
        <f t="shared" si="1"/>
        <v>55</v>
      </c>
    </row>
    <row r="57" spans="1:1" x14ac:dyDescent="0.2">
      <c r="A57">
        <f t="shared" si="1"/>
        <v>56</v>
      </c>
    </row>
    <row r="58" spans="1:1" x14ac:dyDescent="0.2">
      <c r="A58">
        <f t="shared" si="1"/>
        <v>57</v>
      </c>
    </row>
    <row r="59" spans="1:1" x14ac:dyDescent="0.2">
      <c r="A59">
        <f t="shared" si="1"/>
        <v>58</v>
      </c>
    </row>
    <row r="60" spans="1:1" x14ac:dyDescent="0.2">
      <c r="A60">
        <f t="shared" si="1"/>
        <v>59</v>
      </c>
    </row>
    <row r="61" spans="1:1" x14ac:dyDescent="0.2">
      <c r="A61">
        <f t="shared" si="1"/>
        <v>60</v>
      </c>
    </row>
    <row r="62" spans="1:1" x14ac:dyDescent="0.2">
      <c r="A62">
        <f t="shared" si="1"/>
        <v>61</v>
      </c>
    </row>
    <row r="63" spans="1:1" x14ac:dyDescent="0.2">
      <c r="A63">
        <f t="shared" si="1"/>
        <v>62</v>
      </c>
    </row>
    <row r="64" spans="1:1" x14ac:dyDescent="0.2">
      <c r="A64">
        <f t="shared" si="1"/>
        <v>63</v>
      </c>
    </row>
    <row r="65" spans="1:1" x14ac:dyDescent="0.2">
      <c r="A65">
        <f t="shared" si="1"/>
        <v>64</v>
      </c>
    </row>
    <row r="66" spans="1:1" x14ac:dyDescent="0.2">
      <c r="A66">
        <f t="shared" si="1"/>
        <v>65</v>
      </c>
    </row>
    <row r="67" spans="1:1" x14ac:dyDescent="0.2">
      <c r="A67">
        <f t="shared" si="1"/>
        <v>66</v>
      </c>
    </row>
    <row r="68" spans="1:1" x14ac:dyDescent="0.2">
      <c r="A68">
        <f t="shared" si="1"/>
        <v>67</v>
      </c>
    </row>
    <row r="69" spans="1:1" x14ac:dyDescent="0.2">
      <c r="A69">
        <f t="shared" si="1"/>
        <v>68</v>
      </c>
    </row>
    <row r="70" spans="1:1" x14ac:dyDescent="0.2">
      <c r="A70">
        <f t="shared" si="1"/>
        <v>69</v>
      </c>
    </row>
    <row r="71" spans="1:1" x14ac:dyDescent="0.2">
      <c r="A71">
        <f t="shared" si="1"/>
        <v>70</v>
      </c>
    </row>
    <row r="72" spans="1:1" x14ac:dyDescent="0.2">
      <c r="A72">
        <f t="shared" si="1"/>
        <v>71</v>
      </c>
    </row>
    <row r="73" spans="1:1" x14ac:dyDescent="0.2">
      <c r="A73">
        <f t="shared" si="1"/>
        <v>72</v>
      </c>
    </row>
    <row r="74" spans="1:1" x14ac:dyDescent="0.2">
      <c r="A74">
        <f t="shared" si="1"/>
        <v>73</v>
      </c>
    </row>
    <row r="75" spans="1:1" x14ac:dyDescent="0.2">
      <c r="A75">
        <f t="shared" si="1"/>
        <v>74</v>
      </c>
    </row>
    <row r="76" spans="1:1" x14ac:dyDescent="0.2">
      <c r="A76">
        <f t="shared" si="1"/>
        <v>75</v>
      </c>
    </row>
    <row r="77" spans="1:1" x14ac:dyDescent="0.2">
      <c r="A77">
        <f t="shared" si="1"/>
        <v>76</v>
      </c>
    </row>
    <row r="78" spans="1:1" x14ac:dyDescent="0.2">
      <c r="A78">
        <f t="shared" si="1"/>
        <v>77</v>
      </c>
    </row>
    <row r="79" spans="1:1" x14ac:dyDescent="0.2">
      <c r="A79">
        <f t="shared" si="1"/>
        <v>78</v>
      </c>
    </row>
    <row r="80" spans="1:1" x14ac:dyDescent="0.2">
      <c r="A80">
        <f t="shared" si="1"/>
        <v>79</v>
      </c>
    </row>
    <row r="81" spans="1:1" x14ac:dyDescent="0.2">
      <c r="A81">
        <f t="shared" si="1"/>
        <v>80</v>
      </c>
    </row>
    <row r="82" spans="1:1" x14ac:dyDescent="0.2">
      <c r="A82">
        <f t="shared" si="1"/>
        <v>81</v>
      </c>
    </row>
    <row r="83" spans="1:1" x14ac:dyDescent="0.2">
      <c r="A83">
        <f t="shared" si="1"/>
        <v>82</v>
      </c>
    </row>
    <row r="84" spans="1:1" x14ac:dyDescent="0.2">
      <c r="A84">
        <f t="shared" si="1"/>
        <v>83</v>
      </c>
    </row>
    <row r="85" spans="1:1" x14ac:dyDescent="0.2">
      <c r="A85">
        <f t="shared" si="1"/>
        <v>84</v>
      </c>
    </row>
    <row r="86" spans="1:1" x14ac:dyDescent="0.2">
      <c r="A86">
        <f t="shared" si="1"/>
        <v>85</v>
      </c>
    </row>
    <row r="87" spans="1:1" x14ac:dyDescent="0.2">
      <c r="A87">
        <f t="shared" si="1"/>
        <v>86</v>
      </c>
    </row>
    <row r="88" spans="1:1" x14ac:dyDescent="0.2">
      <c r="A88">
        <f t="shared" si="1"/>
        <v>87</v>
      </c>
    </row>
    <row r="89" spans="1:1" x14ac:dyDescent="0.2">
      <c r="A89">
        <f t="shared" si="1"/>
        <v>88</v>
      </c>
    </row>
    <row r="90" spans="1:1" x14ac:dyDescent="0.2">
      <c r="A90">
        <f t="shared" si="1"/>
        <v>89</v>
      </c>
    </row>
    <row r="91" spans="1:1" x14ac:dyDescent="0.2">
      <c r="A91">
        <f t="shared" si="1"/>
        <v>90</v>
      </c>
    </row>
    <row r="92" spans="1:1" x14ac:dyDescent="0.2">
      <c r="A92">
        <f t="shared" si="1"/>
        <v>91</v>
      </c>
    </row>
    <row r="93" spans="1:1" x14ac:dyDescent="0.2">
      <c r="A93">
        <f t="shared" si="1"/>
        <v>92</v>
      </c>
    </row>
    <row r="94" spans="1:1" x14ac:dyDescent="0.2">
      <c r="A94">
        <f t="shared" si="1"/>
        <v>93</v>
      </c>
    </row>
    <row r="95" spans="1:1" x14ac:dyDescent="0.2">
      <c r="A95">
        <f t="shared" si="1"/>
        <v>94</v>
      </c>
    </row>
    <row r="96" spans="1:1" x14ac:dyDescent="0.2">
      <c r="A96">
        <f t="shared" si="1"/>
        <v>95</v>
      </c>
    </row>
    <row r="97" spans="1:1" x14ac:dyDescent="0.2">
      <c r="A97">
        <f t="shared" si="1"/>
        <v>96</v>
      </c>
    </row>
    <row r="98" spans="1:1" x14ac:dyDescent="0.2">
      <c r="A98">
        <f t="shared" si="1"/>
        <v>97</v>
      </c>
    </row>
    <row r="99" spans="1:1" x14ac:dyDescent="0.2">
      <c r="A99">
        <f t="shared" si="1"/>
        <v>98</v>
      </c>
    </row>
    <row r="100" spans="1:1" x14ac:dyDescent="0.2">
      <c r="A100">
        <f t="shared" si="1"/>
        <v>99</v>
      </c>
    </row>
  </sheetData>
  <phoneticPr fontId="1" type="noConversion"/>
  <pageMargins left="0.75" right="0.75" top="1" bottom="1" header="0.5" footer="0.5"/>
  <pageSetup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C250"/>
  <sheetViews>
    <sheetView zoomScale="115" zoomScaleNormal="115" zoomScalePageLayoutView="115" workbookViewId="0">
      <pane xSplit="1" ySplit="1" topLeftCell="B68" activePane="bottomRight" state="frozen"/>
      <selection pane="topRight" activeCell="B1" sqref="B1"/>
      <selection pane="bottomLeft" activeCell="A2" sqref="A2"/>
      <selection pane="bottomRight" activeCell="M21" sqref="M21"/>
    </sheetView>
  </sheetViews>
  <sheetFormatPr defaultColWidth="8.85546875" defaultRowHeight="12.75" x14ac:dyDescent="0.2"/>
  <cols>
    <col min="1" max="1" width="6.28515625" bestFit="1" customWidth="1"/>
    <col min="2" max="2" width="10.85546875" bestFit="1" customWidth="1"/>
    <col min="3" max="3" width="4.28515625" bestFit="1" customWidth="1"/>
    <col min="4" max="4" width="9.85546875" bestFit="1" customWidth="1"/>
    <col min="5" max="5" width="6.85546875" bestFit="1" customWidth="1"/>
    <col min="6" max="6" width="7.7109375" bestFit="1" customWidth="1"/>
    <col min="7" max="8" width="7.7109375" customWidth="1"/>
    <col min="9" max="9" width="7.42578125" bestFit="1" customWidth="1"/>
    <col min="10" max="10" width="6.85546875" customWidth="1"/>
    <col min="11" max="11" width="7.28515625" bestFit="1" customWidth="1"/>
    <col min="12" max="12" width="7.42578125" bestFit="1" customWidth="1"/>
    <col min="13" max="13" width="12" customWidth="1"/>
    <col min="14" max="15" width="8.28515625" bestFit="1" customWidth="1"/>
    <col min="16" max="16" width="7.28515625" bestFit="1" customWidth="1"/>
    <col min="17" max="17" width="11.85546875" bestFit="1" customWidth="1"/>
    <col min="18" max="19" width="10.140625" customWidth="1"/>
    <col min="20" max="20" width="12.42578125" style="16" bestFit="1" customWidth="1"/>
    <col min="21" max="21" width="28.85546875" style="17" bestFit="1" customWidth="1"/>
    <col min="22" max="22" width="9.42578125" style="17" bestFit="1" customWidth="1"/>
    <col min="23" max="23" width="29.42578125" style="17" bestFit="1" customWidth="1"/>
    <col min="24" max="24" width="31.42578125" style="17" bestFit="1" customWidth="1"/>
    <col min="25" max="25" width="9.7109375" style="17" bestFit="1" customWidth="1"/>
    <col min="26" max="26" width="8.7109375" style="17" bestFit="1" customWidth="1"/>
    <col min="27" max="27" width="9.7109375" style="17" bestFit="1" customWidth="1"/>
    <col min="29" max="29" width="21.85546875" style="16" bestFit="1" customWidth="1"/>
  </cols>
  <sheetData>
    <row r="1" spans="1:29" s="2" customFormat="1" ht="45" x14ac:dyDescent="0.2">
      <c r="A1" s="83" t="s">
        <v>1409</v>
      </c>
      <c r="B1" s="83" t="s">
        <v>78</v>
      </c>
      <c r="C1" s="83" t="s">
        <v>68</v>
      </c>
      <c r="D1" s="83" t="s">
        <v>1743</v>
      </c>
      <c r="E1" s="83" t="s">
        <v>1735</v>
      </c>
      <c r="F1" s="83" t="s">
        <v>114</v>
      </c>
      <c r="G1" s="83" t="s">
        <v>1744</v>
      </c>
      <c r="H1" s="83" t="s">
        <v>1740</v>
      </c>
      <c r="I1" s="83" t="s">
        <v>1745</v>
      </c>
      <c r="J1" s="83" t="s">
        <v>1746</v>
      </c>
      <c r="K1" s="83" t="s">
        <v>1334</v>
      </c>
      <c r="L1" s="83" t="s">
        <v>1747</v>
      </c>
      <c r="M1" s="83" t="s">
        <v>1377</v>
      </c>
      <c r="N1" s="83" t="s">
        <v>1748</v>
      </c>
      <c r="O1" s="83" t="s">
        <v>1749</v>
      </c>
      <c r="P1" s="83" t="s">
        <v>1750</v>
      </c>
      <c r="Q1" s="59" t="s">
        <v>1406</v>
      </c>
      <c r="R1" s="83" t="s">
        <v>57</v>
      </c>
      <c r="T1" s="14" t="s">
        <v>1333</v>
      </c>
      <c r="U1" s="15" t="s">
        <v>1359</v>
      </c>
      <c r="V1" s="15" t="s">
        <v>69</v>
      </c>
      <c r="W1" s="15" t="s">
        <v>1360</v>
      </c>
      <c r="X1" s="15" t="s">
        <v>115</v>
      </c>
      <c r="Y1" s="15" t="s">
        <v>1363</v>
      </c>
      <c r="Z1" s="15" t="s">
        <v>1365</v>
      </c>
      <c r="AA1" s="15" t="s">
        <v>1362</v>
      </c>
      <c r="AC1" s="14" t="s">
        <v>1669</v>
      </c>
    </row>
    <row r="2" spans="1:29" x14ac:dyDescent="0.2">
      <c r="A2">
        <v>1</v>
      </c>
      <c r="B2">
        <v>1</v>
      </c>
      <c r="C2">
        <v>11</v>
      </c>
      <c r="E2">
        <v>1</v>
      </c>
      <c r="F2">
        <v>223</v>
      </c>
      <c r="G2">
        <v>97</v>
      </c>
      <c r="I2">
        <v>1</v>
      </c>
      <c r="J2">
        <v>0</v>
      </c>
      <c r="K2">
        <v>1</v>
      </c>
      <c r="L2">
        <v>102</v>
      </c>
      <c r="M2">
        <v>2</v>
      </c>
      <c r="T2" s="16">
        <f>VLOOKUP(B2,Deployment!$A$1:$H$500,4,FALSE)</f>
        <v>40366.440972222219</v>
      </c>
      <c r="U2" s="17" t="str">
        <f>CONCATENATE(VLOOKUP(VLOOKUP(B2,Deployment!$A$1:$H$500,2,FALSE),Logger!$A$1:$F$500,3,FALSE),"/",VLOOKUP(VLOOKUP(B2,Deployment!$A$1:$H$500,2,FALSE),Logger!$A$1:$F$500,4,FALSE),"/",VLOOKUP(VLOOKUP(B2,Deployment!$A$1:$H$500,2,FALSE),Logger!$A$1:$F$500,5,FALSE))</f>
        <v>In-Situ/miniTROLL/1762</v>
      </c>
      <c r="V2" s="17" t="str">
        <f>VLOOKUP(C2,Sites!$A$4:$B$501,2,FALSE)</f>
        <v>WELL042</v>
      </c>
      <c r="W2" s="17" t="str">
        <f>CONCATENATE(VLOOKUP(E2,Sensors!$A$1:$G$500,4,FALSE),"/",VLOOKUP(E2,Sensors!$A$1:$G$500,5,FALSE),"/",VLOOKUP(E2,Sensors!$A$1:$G$500,6,FALSE))</f>
        <v>In-Situ/miniTROLL/1762</v>
      </c>
      <c r="X2" s="17" t="str">
        <f>VLOOKUP(F2,Variables!$A$2:$E$500, 2, FALSE)</f>
        <v>Temperature</v>
      </c>
      <c r="Y2" s="17" t="str">
        <f>VLOOKUP(G2,UnitsCV!$A$1:$D$500,4,FALSE)</f>
        <v>degF</v>
      </c>
      <c r="Z2" s="17" t="str">
        <f>VLOOKUP(K2,DataTypeCV!$A$1:$C$500,2,FALSE)</f>
        <v>Average</v>
      </c>
      <c r="AA2" s="17" t="str">
        <f>VLOOKUP(L2,UnitsCV!$A$1:$D$500,4,FALSE)</f>
        <v>min</v>
      </c>
      <c r="AC2" s="16" t="str">
        <f t="shared" ref="AC2:AC33" si="0">CONCATENATE(B2,C2,E2,F2,G2,I2,J2,K2,L2,M2,N2,O2,P2,Q2,R2)</f>
        <v>1111223971011022</v>
      </c>
    </row>
    <row r="3" spans="1:29" x14ac:dyDescent="0.2">
      <c r="A3">
        <v>2</v>
      </c>
      <c r="B3">
        <v>1</v>
      </c>
      <c r="C3">
        <v>11</v>
      </c>
      <c r="E3">
        <v>1</v>
      </c>
      <c r="F3">
        <v>232</v>
      </c>
      <c r="G3">
        <v>91</v>
      </c>
      <c r="I3">
        <v>2</v>
      </c>
      <c r="J3">
        <v>0</v>
      </c>
      <c r="K3">
        <v>1</v>
      </c>
      <c r="L3">
        <v>102</v>
      </c>
      <c r="M3">
        <v>2</v>
      </c>
      <c r="T3" s="16">
        <f>VLOOKUP(B3,Deployment!$A$1:$H$500,4,FALSE)</f>
        <v>40366.440972222219</v>
      </c>
      <c r="U3" s="17" t="str">
        <f>CONCATENATE(VLOOKUP(VLOOKUP(B3,Deployment!$A$1:$H$500,2,FALSE),Logger!$A$1:$F$500,3,FALSE),"/",VLOOKUP(VLOOKUP(B3,Deployment!$A$1:$H$500,2,FALSE),Logger!$A$1:$F$500,4,FALSE),"/",VLOOKUP(VLOOKUP(B3,Deployment!$A$1:$H$500,2,FALSE),Logger!$A$1:$F$500,5,FALSE))</f>
        <v>In-Situ/miniTROLL/1762</v>
      </c>
      <c r="V3" s="17" t="str">
        <f>VLOOKUP(C3,Sites!$A$4:$B$501,2,FALSE)</f>
        <v>WELL042</v>
      </c>
      <c r="W3" s="17" t="str">
        <f>CONCATENATE(VLOOKUP(E3,Sensors!$A$1:$G$500,4,FALSE),"/",VLOOKUP(E3,Sensors!$A$1:$G$500,5,FALSE),"/",VLOOKUP(E3,Sensors!$A$1:$G$500,6,FALSE))</f>
        <v>In-Situ/miniTROLL/1762</v>
      </c>
      <c r="X3" s="17" t="str">
        <f>VLOOKUP(F3,Variables!$A$2:$E$500, 2, FALSE)</f>
        <v>Vented Water Pressure</v>
      </c>
      <c r="Y3" s="17" t="str">
        <f>VLOOKUP(G3,UnitsCV!$A$1:$D$500,4,FALSE)</f>
        <v>psi</v>
      </c>
      <c r="Z3" s="17" t="str">
        <f>VLOOKUP(K3,DataTypeCV!$A$1:$C$500,2,FALSE)</f>
        <v>Average</v>
      </c>
      <c r="AA3" s="17" t="str">
        <f>VLOOKUP(L3,UnitsCV!$A$1:$D$500,4,FALSE)</f>
        <v>min</v>
      </c>
      <c r="AC3" s="16" t="str">
        <f t="shared" si="0"/>
        <v>1111232912011022</v>
      </c>
    </row>
    <row r="4" spans="1:29" x14ac:dyDescent="0.2">
      <c r="A4">
        <v>3</v>
      </c>
      <c r="B4">
        <v>2</v>
      </c>
      <c r="C4">
        <v>11</v>
      </c>
      <c r="E4">
        <v>1</v>
      </c>
      <c r="F4">
        <v>223</v>
      </c>
      <c r="G4">
        <v>97</v>
      </c>
      <c r="I4">
        <v>1</v>
      </c>
      <c r="J4">
        <v>0</v>
      </c>
      <c r="K4">
        <v>1</v>
      </c>
      <c r="L4">
        <v>102</v>
      </c>
      <c r="M4">
        <v>2</v>
      </c>
      <c r="T4" s="16">
        <f>VLOOKUP(B4,Deployment!$A$1:$H$500,4,FALSE)</f>
        <v>40500.575694444444</v>
      </c>
      <c r="U4" s="17" t="str">
        <f>CONCATENATE(VLOOKUP(VLOOKUP(B4,Deployment!$A$1:$H$500,2,FALSE),Logger!$A$1:$F$500,3,FALSE),"/",VLOOKUP(VLOOKUP(B4,Deployment!$A$1:$H$500,2,FALSE),Logger!$A$1:$F$500,4,FALSE),"/",VLOOKUP(VLOOKUP(B4,Deployment!$A$1:$H$500,2,FALSE),Logger!$A$1:$F$500,5,FALSE))</f>
        <v>In-Situ/miniTROLL/1762</v>
      </c>
      <c r="V4" s="17" t="str">
        <f>VLOOKUP(C4,Sites!$A$4:$B$501,2,FALSE)</f>
        <v>WELL042</v>
      </c>
      <c r="W4" s="17" t="str">
        <f>CONCATENATE(VLOOKUP(E4,Sensors!$A$1:$G$500,4,FALSE),"/",VLOOKUP(E4,Sensors!$A$1:$G$500,5,FALSE),"/",VLOOKUP(E4,Sensors!$A$1:$G$500,6,FALSE))</f>
        <v>In-Situ/miniTROLL/1762</v>
      </c>
      <c r="X4" s="17" t="str">
        <f>VLOOKUP(F4,Variables!$A$2:$E$500, 2, FALSE)</f>
        <v>Temperature</v>
      </c>
      <c r="Y4" s="17" t="str">
        <f>VLOOKUP(G4,UnitsCV!$A$1:$D$500,4,FALSE)</f>
        <v>degF</v>
      </c>
      <c r="Z4" s="17" t="str">
        <f>VLOOKUP(K4,DataTypeCV!$A$1:$C$500,2,FALSE)</f>
        <v>Average</v>
      </c>
      <c r="AA4" s="17" t="str">
        <f>VLOOKUP(L4,UnitsCV!$A$1:$D$500,4,FALSE)</f>
        <v>min</v>
      </c>
      <c r="AC4" s="16" t="str">
        <f t="shared" si="0"/>
        <v>2111223971011022</v>
      </c>
    </row>
    <row r="5" spans="1:29" x14ac:dyDescent="0.2">
      <c r="A5">
        <v>4</v>
      </c>
      <c r="B5">
        <v>2</v>
      </c>
      <c r="C5">
        <v>11</v>
      </c>
      <c r="E5">
        <v>1</v>
      </c>
      <c r="F5">
        <v>232</v>
      </c>
      <c r="G5">
        <v>91</v>
      </c>
      <c r="I5">
        <v>2</v>
      </c>
      <c r="J5">
        <v>0</v>
      </c>
      <c r="K5">
        <v>1</v>
      </c>
      <c r="L5">
        <v>102</v>
      </c>
      <c r="M5">
        <v>2</v>
      </c>
      <c r="T5" s="16">
        <f>VLOOKUP(B5,Deployment!$A$1:$H$500,4,FALSE)</f>
        <v>40500.575694444444</v>
      </c>
      <c r="U5" s="17" t="str">
        <f>CONCATENATE(VLOOKUP(VLOOKUP(B5,Deployment!$A$1:$H$500,2,FALSE),Logger!$A$1:$F$500,3,FALSE),"/",VLOOKUP(VLOOKUP(B5,Deployment!$A$1:$H$500,2,FALSE),Logger!$A$1:$F$500,4,FALSE),"/",VLOOKUP(VLOOKUP(B5,Deployment!$A$1:$H$500,2,FALSE),Logger!$A$1:$F$500,5,FALSE))</f>
        <v>In-Situ/miniTROLL/1762</v>
      </c>
      <c r="V5" s="17" t="str">
        <f>VLOOKUP(C5,Sites!$A$4:$B$501,2,FALSE)</f>
        <v>WELL042</v>
      </c>
      <c r="W5" s="17" t="str">
        <f>CONCATENATE(VLOOKUP(E5,Sensors!$A$1:$G$500,4,FALSE),"/",VLOOKUP(E5,Sensors!$A$1:$G$500,5,FALSE),"/",VLOOKUP(E5,Sensors!$A$1:$G$500,6,FALSE))</f>
        <v>In-Situ/miniTROLL/1762</v>
      </c>
      <c r="X5" s="17" t="str">
        <f>VLOOKUP(F5,Variables!$A$2:$E$500, 2, FALSE)</f>
        <v>Vented Water Pressure</v>
      </c>
      <c r="Y5" s="17" t="str">
        <f>VLOOKUP(G5,UnitsCV!$A$1:$D$500,4,FALSE)</f>
        <v>psi</v>
      </c>
      <c r="Z5" s="17" t="str">
        <f>VLOOKUP(K5,DataTypeCV!$A$1:$C$500,2,FALSE)</f>
        <v>Average</v>
      </c>
      <c r="AA5" s="17" t="str">
        <f>VLOOKUP(L5,UnitsCV!$A$1:$D$500,4,FALSE)</f>
        <v>min</v>
      </c>
      <c r="AC5" s="16" t="str">
        <f t="shared" si="0"/>
        <v>2111232912011022</v>
      </c>
    </row>
    <row r="6" spans="1:29" x14ac:dyDescent="0.2">
      <c r="A6">
        <v>5</v>
      </c>
      <c r="B6">
        <v>3</v>
      </c>
      <c r="C6">
        <v>11</v>
      </c>
      <c r="E6">
        <v>1</v>
      </c>
      <c r="F6">
        <v>223</v>
      </c>
      <c r="G6">
        <v>97</v>
      </c>
      <c r="I6">
        <v>1</v>
      </c>
      <c r="J6">
        <v>0</v>
      </c>
      <c r="K6">
        <v>1</v>
      </c>
      <c r="L6">
        <v>102</v>
      </c>
      <c r="M6">
        <v>2</v>
      </c>
      <c r="T6" s="16">
        <f>VLOOKUP(B6,Deployment!$A$1:$H$500,4,FALSE)</f>
        <v>40620.647916666669</v>
      </c>
      <c r="U6" s="17" t="str">
        <f>CONCATENATE(VLOOKUP(VLOOKUP(B6,Deployment!$A$1:$H$500,2,FALSE),Logger!$A$1:$F$500,3,FALSE),"/",VLOOKUP(VLOOKUP(B6,Deployment!$A$1:$H$500,2,FALSE),Logger!$A$1:$F$500,4,FALSE),"/",VLOOKUP(VLOOKUP(B6,Deployment!$A$1:$H$500,2,FALSE),Logger!$A$1:$F$500,5,FALSE))</f>
        <v>In-Situ/miniTROLL/1762</v>
      </c>
      <c r="V6" s="17" t="str">
        <f>VLOOKUP(C6,Sites!$A$4:$B$501,2,FALSE)</f>
        <v>WELL042</v>
      </c>
      <c r="W6" s="17" t="str">
        <f>CONCATENATE(VLOOKUP(E6,Sensors!$A$1:$G$500,4,FALSE),"/",VLOOKUP(E6,Sensors!$A$1:$G$500,5,FALSE),"/",VLOOKUP(E6,Sensors!$A$1:$G$500,6,FALSE))</f>
        <v>In-Situ/miniTROLL/1762</v>
      </c>
      <c r="X6" s="17" t="str">
        <f>VLOOKUP(F6,Variables!$A$2:$E$500, 2, FALSE)</f>
        <v>Temperature</v>
      </c>
      <c r="Y6" s="17" t="str">
        <f>VLOOKUP(G6,UnitsCV!$A$1:$D$500,4,FALSE)</f>
        <v>degF</v>
      </c>
      <c r="Z6" s="17" t="str">
        <f>VLOOKUP(K6,DataTypeCV!$A$1:$C$500,2,FALSE)</f>
        <v>Average</v>
      </c>
      <c r="AA6" s="17" t="str">
        <f>VLOOKUP(L6,UnitsCV!$A$1:$D$500,4,FALSE)</f>
        <v>min</v>
      </c>
      <c r="AC6" s="16" t="str">
        <f t="shared" si="0"/>
        <v>3111223971011022</v>
      </c>
    </row>
    <row r="7" spans="1:29" x14ac:dyDescent="0.2">
      <c r="A7">
        <v>6</v>
      </c>
      <c r="B7">
        <v>3</v>
      </c>
      <c r="C7">
        <v>11</v>
      </c>
      <c r="E7">
        <v>1</v>
      </c>
      <c r="F7">
        <v>232</v>
      </c>
      <c r="G7">
        <v>91</v>
      </c>
      <c r="I7">
        <v>2</v>
      </c>
      <c r="J7">
        <v>0</v>
      </c>
      <c r="K7">
        <v>1</v>
      </c>
      <c r="L7">
        <v>102</v>
      </c>
      <c r="M7">
        <v>2</v>
      </c>
      <c r="T7" s="16">
        <f>VLOOKUP(B7,Deployment!$A$1:$H$500,4,FALSE)</f>
        <v>40620.647916666669</v>
      </c>
      <c r="U7" s="17" t="str">
        <f>CONCATENATE(VLOOKUP(VLOOKUP(B7,Deployment!$A$1:$H$500,2,FALSE),Logger!$A$1:$F$500,3,FALSE),"/",VLOOKUP(VLOOKUP(B7,Deployment!$A$1:$H$500,2,FALSE),Logger!$A$1:$F$500,4,FALSE),"/",VLOOKUP(VLOOKUP(B7,Deployment!$A$1:$H$500,2,FALSE),Logger!$A$1:$F$500,5,FALSE))</f>
        <v>In-Situ/miniTROLL/1762</v>
      </c>
      <c r="V7" s="17" t="str">
        <f>VLOOKUP(C7,Sites!$A$4:$B$501,2,FALSE)</f>
        <v>WELL042</v>
      </c>
      <c r="W7" s="17" t="str">
        <f>CONCATENATE(VLOOKUP(E7,Sensors!$A$1:$G$500,4,FALSE),"/",VLOOKUP(E7,Sensors!$A$1:$G$500,5,FALSE),"/",VLOOKUP(E7,Sensors!$A$1:$G$500,6,FALSE))</f>
        <v>In-Situ/miniTROLL/1762</v>
      </c>
      <c r="X7" s="17" t="str">
        <f>VLOOKUP(F7,Variables!$A$2:$E$500, 2, FALSE)</f>
        <v>Vented Water Pressure</v>
      </c>
      <c r="Y7" s="17" t="str">
        <f>VLOOKUP(G7,UnitsCV!$A$1:$D$500,4,FALSE)</f>
        <v>psi</v>
      </c>
      <c r="Z7" s="17" t="str">
        <f>VLOOKUP(K7,DataTypeCV!$A$1:$C$500,2,FALSE)</f>
        <v>Average</v>
      </c>
      <c r="AA7" s="17" t="str">
        <f>VLOOKUP(L7,UnitsCV!$A$1:$D$500,4,FALSE)</f>
        <v>min</v>
      </c>
      <c r="AC7" s="16" t="str">
        <f t="shared" si="0"/>
        <v>3111232912011022</v>
      </c>
    </row>
    <row r="8" spans="1:29" x14ac:dyDescent="0.2">
      <c r="A8">
        <v>7</v>
      </c>
      <c r="B8">
        <v>4</v>
      </c>
      <c r="C8">
        <v>3</v>
      </c>
      <c r="E8">
        <v>2</v>
      </c>
      <c r="F8">
        <v>223</v>
      </c>
      <c r="G8">
        <v>97</v>
      </c>
      <c r="I8">
        <v>1</v>
      </c>
      <c r="J8">
        <v>0</v>
      </c>
      <c r="K8">
        <v>1</v>
      </c>
      <c r="L8">
        <v>102</v>
      </c>
      <c r="M8">
        <v>2</v>
      </c>
      <c r="T8" s="16">
        <f>VLOOKUP(B8,Deployment!$A$1:$H$500,4,FALSE)</f>
        <v>40366.425694444442</v>
      </c>
      <c r="U8" s="17" t="str">
        <f>CONCATENATE(VLOOKUP(VLOOKUP(B8,Deployment!$A$1:$H$500,2,FALSE),Logger!$A$1:$F$500,3,FALSE),"/",VLOOKUP(VLOOKUP(B8,Deployment!$A$1:$H$500,2,FALSE),Logger!$A$1:$F$500,4,FALSE),"/",VLOOKUP(VLOOKUP(B8,Deployment!$A$1:$H$500,2,FALSE),Logger!$A$1:$F$500,5,FALSE))</f>
        <v>In-Situ/miniTROLL/1876</v>
      </c>
      <c r="V8" s="17" t="str">
        <f>VLOOKUP(C8,Sites!$A$4:$B$501,2,FALSE)</f>
        <v>WCC558</v>
      </c>
      <c r="W8" s="17" t="str">
        <f>CONCATENATE(VLOOKUP(E8,Sensors!$A$1:$G$500,4,FALSE),"/",VLOOKUP(E8,Sensors!$A$1:$G$500,5,FALSE),"/",VLOOKUP(E8,Sensors!$A$1:$G$500,6,FALSE))</f>
        <v>In-Situ/miniTROLL/1876</v>
      </c>
      <c r="X8" s="17" t="str">
        <f>VLOOKUP(F8,Variables!$A$2:$E$500, 2, FALSE)</f>
        <v>Temperature</v>
      </c>
      <c r="Y8" s="17" t="str">
        <f>VLOOKUP(G8,UnitsCV!$A$1:$D$500,4,FALSE)</f>
        <v>degF</v>
      </c>
      <c r="Z8" s="17" t="str">
        <f>VLOOKUP(K8,DataTypeCV!$A$1:$C$500,2,FALSE)</f>
        <v>Average</v>
      </c>
      <c r="AA8" s="17" t="str">
        <f>VLOOKUP(L8,UnitsCV!$A$1:$D$500,4,FALSE)</f>
        <v>min</v>
      </c>
      <c r="AC8" s="16" t="str">
        <f t="shared" si="0"/>
        <v>432223971011022</v>
      </c>
    </row>
    <row r="9" spans="1:29" x14ac:dyDescent="0.2">
      <c r="A9">
        <v>8</v>
      </c>
      <c r="B9">
        <v>4</v>
      </c>
      <c r="C9">
        <v>3</v>
      </c>
      <c r="E9">
        <v>2</v>
      </c>
      <c r="F9">
        <v>232</v>
      </c>
      <c r="G9">
        <v>91</v>
      </c>
      <c r="I9">
        <v>2</v>
      </c>
      <c r="J9">
        <v>0</v>
      </c>
      <c r="K9">
        <v>1</v>
      </c>
      <c r="L9">
        <v>102</v>
      </c>
      <c r="M9">
        <v>2</v>
      </c>
      <c r="T9" s="16">
        <f>VLOOKUP(B9,Deployment!$A$1:$H$500,4,FALSE)</f>
        <v>40366.425694444442</v>
      </c>
      <c r="U9" s="17" t="str">
        <f>CONCATENATE(VLOOKUP(VLOOKUP(B9,Deployment!$A$1:$H$500,2,FALSE),Logger!$A$1:$F$500,3,FALSE),"/",VLOOKUP(VLOOKUP(B9,Deployment!$A$1:$H$500,2,FALSE),Logger!$A$1:$F$500,4,FALSE),"/",VLOOKUP(VLOOKUP(B9,Deployment!$A$1:$H$500,2,FALSE),Logger!$A$1:$F$500,5,FALSE))</f>
        <v>In-Situ/miniTROLL/1876</v>
      </c>
      <c r="V9" s="17" t="str">
        <f>VLOOKUP(C9,Sites!$A$4:$B$501,2,FALSE)</f>
        <v>WCC558</v>
      </c>
      <c r="W9" s="17" t="str">
        <f>CONCATENATE(VLOOKUP(E9,Sensors!$A$1:$G$500,4,FALSE),"/",VLOOKUP(E9,Sensors!$A$1:$G$500,5,FALSE),"/",VLOOKUP(E9,Sensors!$A$1:$G$500,6,FALSE))</f>
        <v>In-Situ/miniTROLL/1876</v>
      </c>
      <c r="X9" s="17" t="str">
        <f>VLOOKUP(F9,Variables!$A$2:$E$500, 2, FALSE)</f>
        <v>Vented Water Pressure</v>
      </c>
      <c r="Y9" s="17" t="str">
        <f>VLOOKUP(G9,UnitsCV!$A$1:$D$500,4,FALSE)</f>
        <v>psi</v>
      </c>
      <c r="Z9" s="17" t="str">
        <f>VLOOKUP(K9,DataTypeCV!$A$1:$C$500,2,FALSE)</f>
        <v>Average</v>
      </c>
      <c r="AA9" s="17" t="str">
        <f>VLOOKUP(L9,UnitsCV!$A$1:$D$500,4,FALSE)</f>
        <v>min</v>
      </c>
      <c r="AC9" s="16" t="str">
        <f t="shared" si="0"/>
        <v>432232912011022</v>
      </c>
    </row>
    <row r="10" spans="1:29" x14ac:dyDescent="0.2">
      <c r="A10">
        <v>9</v>
      </c>
      <c r="B10">
        <v>5</v>
      </c>
      <c r="C10">
        <v>3</v>
      </c>
      <c r="E10">
        <v>2</v>
      </c>
      <c r="F10">
        <v>223</v>
      </c>
      <c r="G10">
        <v>97</v>
      </c>
      <c r="I10">
        <v>1</v>
      </c>
      <c r="J10">
        <v>0</v>
      </c>
      <c r="K10">
        <v>1</v>
      </c>
      <c r="L10">
        <v>102</v>
      </c>
      <c r="M10">
        <v>2</v>
      </c>
      <c r="T10" s="16">
        <f>VLOOKUP(B10,Deployment!$A$1:$H$500,4,FALSE)</f>
        <v>40500.556944444441</v>
      </c>
      <c r="U10" s="17" t="str">
        <f>CONCATENATE(VLOOKUP(VLOOKUP(B10,Deployment!$A$1:$H$500,2,FALSE),Logger!$A$1:$F$500,3,FALSE),"/",VLOOKUP(VLOOKUP(B10,Deployment!$A$1:$H$500,2,FALSE),Logger!$A$1:$F$500,4,FALSE),"/",VLOOKUP(VLOOKUP(B10,Deployment!$A$1:$H$500,2,FALSE),Logger!$A$1:$F$500,5,FALSE))</f>
        <v>In-Situ/miniTROLL/1876</v>
      </c>
      <c r="V10" s="17" t="str">
        <f>VLOOKUP(C10,Sites!$A$4:$B$501,2,FALSE)</f>
        <v>WCC558</v>
      </c>
      <c r="W10" s="17" t="str">
        <f>CONCATENATE(VLOOKUP(E10,Sensors!$A$1:$G$500,4,FALSE),"/",VLOOKUP(E10,Sensors!$A$1:$G$500,5,FALSE),"/",VLOOKUP(E10,Sensors!$A$1:$G$500,6,FALSE))</f>
        <v>In-Situ/miniTROLL/1876</v>
      </c>
      <c r="X10" s="17" t="str">
        <f>VLOOKUP(F10,Variables!$A$2:$E$500, 2, FALSE)</f>
        <v>Temperature</v>
      </c>
      <c r="Y10" s="17" t="str">
        <f>VLOOKUP(G10,UnitsCV!$A$1:$D$500,4,FALSE)</f>
        <v>degF</v>
      </c>
      <c r="Z10" s="17" t="str">
        <f>VLOOKUP(K10,DataTypeCV!$A$1:$C$500,2,FALSE)</f>
        <v>Average</v>
      </c>
      <c r="AA10" s="17" t="str">
        <f>VLOOKUP(L10,UnitsCV!$A$1:$D$500,4,FALSE)</f>
        <v>min</v>
      </c>
      <c r="AC10" s="16" t="str">
        <f t="shared" si="0"/>
        <v>532223971011022</v>
      </c>
    </row>
    <row r="11" spans="1:29" x14ac:dyDescent="0.2">
      <c r="A11">
        <v>10</v>
      </c>
      <c r="B11">
        <v>5</v>
      </c>
      <c r="C11">
        <v>3</v>
      </c>
      <c r="E11">
        <v>2</v>
      </c>
      <c r="F11">
        <v>232</v>
      </c>
      <c r="G11">
        <v>91</v>
      </c>
      <c r="I11">
        <v>2</v>
      </c>
      <c r="J11">
        <v>0</v>
      </c>
      <c r="K11">
        <v>1</v>
      </c>
      <c r="L11">
        <v>102</v>
      </c>
      <c r="M11">
        <v>2</v>
      </c>
      <c r="T11" s="16">
        <f>VLOOKUP(B11,Deployment!$A$1:$H$500,4,FALSE)</f>
        <v>40500.556944444441</v>
      </c>
      <c r="U11" s="17" t="str">
        <f>CONCATENATE(VLOOKUP(VLOOKUP(B11,Deployment!$A$1:$H$500,2,FALSE),Logger!$A$1:$F$500,3,FALSE),"/",VLOOKUP(VLOOKUP(B11,Deployment!$A$1:$H$500,2,FALSE),Logger!$A$1:$F$500,4,FALSE),"/",VLOOKUP(VLOOKUP(B11,Deployment!$A$1:$H$500,2,FALSE),Logger!$A$1:$F$500,5,FALSE))</f>
        <v>In-Situ/miniTROLL/1876</v>
      </c>
      <c r="V11" s="17" t="str">
        <f>VLOOKUP(C11,Sites!$A$4:$B$501,2,FALSE)</f>
        <v>WCC558</v>
      </c>
      <c r="W11" s="17" t="str">
        <f>CONCATENATE(VLOOKUP(E11,Sensors!$A$1:$G$500,4,FALSE),"/",VLOOKUP(E11,Sensors!$A$1:$G$500,5,FALSE),"/",VLOOKUP(E11,Sensors!$A$1:$G$500,6,FALSE))</f>
        <v>In-Situ/miniTROLL/1876</v>
      </c>
      <c r="X11" s="17" t="str">
        <f>VLOOKUP(F11,Variables!$A$2:$E$500, 2, FALSE)</f>
        <v>Vented Water Pressure</v>
      </c>
      <c r="Y11" s="17" t="str">
        <f>VLOOKUP(G11,UnitsCV!$A$1:$D$500,4,FALSE)</f>
        <v>psi</v>
      </c>
      <c r="Z11" s="17" t="str">
        <f>VLOOKUP(K11,DataTypeCV!$A$1:$C$500,2,FALSE)</f>
        <v>Average</v>
      </c>
      <c r="AA11" s="17" t="str">
        <f>VLOOKUP(L11,UnitsCV!$A$1:$D$500,4,FALSE)</f>
        <v>min</v>
      </c>
      <c r="AC11" s="16" t="str">
        <f t="shared" si="0"/>
        <v>532232912011022</v>
      </c>
    </row>
    <row r="12" spans="1:29" x14ac:dyDescent="0.2">
      <c r="A12">
        <v>11</v>
      </c>
      <c r="B12">
        <v>6</v>
      </c>
      <c r="C12">
        <v>3</v>
      </c>
      <c r="E12">
        <v>2</v>
      </c>
      <c r="F12">
        <v>223</v>
      </c>
      <c r="G12">
        <v>97</v>
      </c>
      <c r="I12">
        <v>1</v>
      </c>
      <c r="J12">
        <v>0</v>
      </c>
      <c r="K12">
        <v>1</v>
      </c>
      <c r="L12">
        <v>102</v>
      </c>
      <c r="M12">
        <v>2</v>
      </c>
      <c r="T12" s="16">
        <f>VLOOKUP(B12,Deployment!$A$1:$H$500,4,FALSE)</f>
        <v>40620.63958333333</v>
      </c>
      <c r="U12" s="17" t="str">
        <f>CONCATENATE(VLOOKUP(VLOOKUP(B12,Deployment!$A$1:$H$500,2,FALSE),Logger!$A$1:$F$500,3,FALSE),"/",VLOOKUP(VLOOKUP(B12,Deployment!$A$1:$H$500,2,FALSE),Logger!$A$1:$F$500,4,FALSE),"/",VLOOKUP(VLOOKUP(B12,Deployment!$A$1:$H$500,2,FALSE),Logger!$A$1:$F$500,5,FALSE))</f>
        <v>In-Situ/miniTROLL/1876</v>
      </c>
      <c r="V12" s="17" t="str">
        <f>VLOOKUP(C12,Sites!$A$4:$B$501,2,FALSE)</f>
        <v>WCC558</v>
      </c>
      <c r="W12" s="17" t="str">
        <f>CONCATENATE(VLOOKUP(E12,Sensors!$A$1:$G$500,4,FALSE),"/",VLOOKUP(E12,Sensors!$A$1:$G$500,5,FALSE),"/",VLOOKUP(E12,Sensors!$A$1:$G$500,6,FALSE))</f>
        <v>In-Situ/miniTROLL/1876</v>
      </c>
      <c r="X12" s="17" t="str">
        <f>VLOOKUP(F12,Variables!$A$2:$E$500, 2, FALSE)</f>
        <v>Temperature</v>
      </c>
      <c r="Y12" s="17" t="str">
        <f>VLOOKUP(G12,UnitsCV!$A$1:$D$500,4,FALSE)</f>
        <v>degF</v>
      </c>
      <c r="Z12" s="17" t="str">
        <f>VLOOKUP(K12,DataTypeCV!$A$1:$C$500,2,FALSE)</f>
        <v>Average</v>
      </c>
      <c r="AA12" s="17" t="str">
        <f>VLOOKUP(L12,UnitsCV!$A$1:$D$500,4,FALSE)</f>
        <v>min</v>
      </c>
      <c r="AC12" s="16" t="str">
        <f t="shared" si="0"/>
        <v>632223971011022</v>
      </c>
    </row>
    <row r="13" spans="1:29" x14ac:dyDescent="0.2">
      <c r="A13">
        <v>12</v>
      </c>
      <c r="B13">
        <v>6</v>
      </c>
      <c r="C13">
        <v>3</v>
      </c>
      <c r="E13">
        <v>2</v>
      </c>
      <c r="F13">
        <v>232</v>
      </c>
      <c r="G13">
        <v>91</v>
      </c>
      <c r="I13">
        <v>2</v>
      </c>
      <c r="J13">
        <v>0</v>
      </c>
      <c r="K13">
        <v>1</v>
      </c>
      <c r="L13">
        <v>102</v>
      </c>
      <c r="M13">
        <v>2</v>
      </c>
      <c r="T13" s="16">
        <f>VLOOKUP(B13,Deployment!$A$1:$H$500,4,FALSE)</f>
        <v>40620.63958333333</v>
      </c>
      <c r="U13" s="17" t="str">
        <f>CONCATENATE(VLOOKUP(VLOOKUP(B13,Deployment!$A$1:$H$500,2,FALSE),Logger!$A$1:$F$500,3,FALSE),"/",VLOOKUP(VLOOKUP(B13,Deployment!$A$1:$H$500,2,FALSE),Logger!$A$1:$F$500,4,FALSE),"/",VLOOKUP(VLOOKUP(B13,Deployment!$A$1:$H$500,2,FALSE),Logger!$A$1:$F$500,5,FALSE))</f>
        <v>In-Situ/miniTROLL/1876</v>
      </c>
      <c r="V13" s="17" t="str">
        <f>VLOOKUP(C13,Sites!$A$4:$B$501,2,FALSE)</f>
        <v>WCC558</v>
      </c>
      <c r="W13" s="17" t="str">
        <f>CONCATENATE(VLOOKUP(E13,Sensors!$A$1:$G$500,4,FALSE),"/",VLOOKUP(E13,Sensors!$A$1:$G$500,5,FALSE),"/",VLOOKUP(E13,Sensors!$A$1:$G$500,6,FALSE))</f>
        <v>In-Situ/miniTROLL/1876</v>
      </c>
      <c r="X13" s="17" t="str">
        <f>VLOOKUP(F13,Variables!$A$2:$E$500, 2, FALSE)</f>
        <v>Vented Water Pressure</v>
      </c>
      <c r="Y13" s="17" t="str">
        <f>VLOOKUP(G13,UnitsCV!$A$1:$D$500,4,FALSE)</f>
        <v>psi</v>
      </c>
      <c r="Z13" s="17" t="str">
        <f>VLOOKUP(K13,DataTypeCV!$A$1:$C$500,2,FALSE)</f>
        <v>Average</v>
      </c>
      <c r="AA13" s="17" t="str">
        <f>VLOOKUP(L13,UnitsCV!$A$1:$D$500,4,FALSE)</f>
        <v>min</v>
      </c>
      <c r="AC13" s="16" t="str">
        <f t="shared" si="0"/>
        <v>632232912011022</v>
      </c>
    </row>
    <row r="14" spans="1:29" x14ac:dyDescent="0.2">
      <c r="A14">
        <v>13</v>
      </c>
      <c r="B14">
        <v>7</v>
      </c>
      <c r="C14">
        <v>5</v>
      </c>
      <c r="E14">
        <v>3</v>
      </c>
      <c r="F14">
        <v>223</v>
      </c>
      <c r="G14">
        <v>97</v>
      </c>
      <c r="I14">
        <v>1</v>
      </c>
      <c r="J14">
        <v>0</v>
      </c>
      <c r="K14">
        <v>1</v>
      </c>
      <c r="L14">
        <v>102</v>
      </c>
      <c r="M14">
        <v>2</v>
      </c>
      <c r="T14" s="16">
        <f>VLOOKUP(B14,Deployment!$A$1:$H$500,4,FALSE)</f>
        <v>39871.625694444447</v>
      </c>
      <c r="U14" s="17" t="str">
        <f>CONCATENATE(VLOOKUP(VLOOKUP(B14,Deployment!$A$1:$H$500,2,FALSE),Logger!$A$1:$F$500,3,FALSE),"/",VLOOKUP(VLOOKUP(B14,Deployment!$A$1:$H$500,2,FALSE),Logger!$A$1:$F$500,4,FALSE),"/",VLOOKUP(VLOOKUP(B14,Deployment!$A$1:$H$500,2,FALSE),Logger!$A$1:$F$500,5,FALSE))</f>
        <v>In-Situ/miniTROLL/1902</v>
      </c>
      <c r="V14" s="17" t="str">
        <f>VLOOKUP(C14,Sites!$A$4:$B$501,2,FALSE)</f>
        <v>WELL003</v>
      </c>
      <c r="W14" s="17" t="str">
        <f>CONCATENATE(VLOOKUP(E14,Sensors!$A$1:$G$500,4,FALSE),"/",VLOOKUP(E14,Sensors!$A$1:$G$500,5,FALSE),"/",VLOOKUP(E14,Sensors!$A$1:$G$500,6,FALSE))</f>
        <v>In-Situ/miniTROLL/1902</v>
      </c>
      <c r="X14" s="17" t="str">
        <f>VLOOKUP(F14,Variables!$A$2:$E$500, 2, FALSE)</f>
        <v>Temperature</v>
      </c>
      <c r="Y14" s="17" t="str">
        <f>VLOOKUP(G14,UnitsCV!$A$1:$D$500,4,FALSE)</f>
        <v>degF</v>
      </c>
      <c r="Z14" s="17" t="str">
        <f>VLOOKUP(K14,DataTypeCV!$A$1:$C$500,2,FALSE)</f>
        <v>Average</v>
      </c>
      <c r="AA14" s="17" t="str">
        <f>VLOOKUP(L14,UnitsCV!$A$1:$D$500,4,FALSE)</f>
        <v>min</v>
      </c>
      <c r="AC14" s="16" t="str">
        <f t="shared" si="0"/>
        <v>753223971011022</v>
      </c>
    </row>
    <row r="15" spans="1:29" x14ac:dyDescent="0.2">
      <c r="A15">
        <v>14</v>
      </c>
      <c r="B15">
        <v>7</v>
      </c>
      <c r="C15">
        <v>5</v>
      </c>
      <c r="E15">
        <v>3</v>
      </c>
      <c r="F15">
        <v>232</v>
      </c>
      <c r="G15">
        <v>91</v>
      </c>
      <c r="I15">
        <v>2</v>
      </c>
      <c r="J15">
        <v>0</v>
      </c>
      <c r="K15">
        <v>1</v>
      </c>
      <c r="L15">
        <v>102</v>
      </c>
      <c r="M15">
        <v>2</v>
      </c>
      <c r="T15" s="16">
        <f>VLOOKUP(B15,Deployment!$A$1:$H$500,4,FALSE)</f>
        <v>39871.625694444447</v>
      </c>
      <c r="U15" s="17" t="str">
        <f>CONCATENATE(VLOOKUP(VLOOKUP(B15,Deployment!$A$1:$H$500,2,FALSE),Logger!$A$1:$F$500,3,FALSE),"/",VLOOKUP(VLOOKUP(B15,Deployment!$A$1:$H$500,2,FALSE),Logger!$A$1:$F$500,4,FALSE),"/",VLOOKUP(VLOOKUP(B15,Deployment!$A$1:$H$500,2,FALSE),Logger!$A$1:$F$500,5,FALSE))</f>
        <v>In-Situ/miniTROLL/1902</v>
      </c>
      <c r="V15" s="17" t="str">
        <f>VLOOKUP(C15,Sites!$A$4:$B$501,2,FALSE)</f>
        <v>WELL003</v>
      </c>
      <c r="W15" s="17" t="str">
        <f>CONCATENATE(VLOOKUP(E15,Sensors!$A$1:$G$500,4,FALSE),"/",VLOOKUP(E15,Sensors!$A$1:$G$500,5,FALSE),"/",VLOOKUP(E15,Sensors!$A$1:$G$500,6,FALSE))</f>
        <v>In-Situ/miniTROLL/1902</v>
      </c>
      <c r="X15" s="17" t="str">
        <f>VLOOKUP(F15,Variables!$A$2:$E$500, 2, FALSE)</f>
        <v>Vented Water Pressure</v>
      </c>
      <c r="Y15" s="17" t="str">
        <f>VLOOKUP(G15,UnitsCV!$A$1:$D$500,4,FALSE)</f>
        <v>psi</v>
      </c>
      <c r="Z15" s="17" t="str">
        <f>VLOOKUP(K15,DataTypeCV!$A$1:$C$500,2,FALSE)</f>
        <v>Average</v>
      </c>
      <c r="AA15" s="17" t="str">
        <f>VLOOKUP(L15,UnitsCV!$A$1:$D$500,4,FALSE)</f>
        <v>min</v>
      </c>
      <c r="AC15" s="16" t="str">
        <f t="shared" si="0"/>
        <v>753232912011022</v>
      </c>
    </row>
    <row r="16" spans="1:29" x14ac:dyDescent="0.2">
      <c r="A16">
        <v>15</v>
      </c>
      <c r="B16">
        <v>8</v>
      </c>
      <c r="C16">
        <v>5</v>
      </c>
      <c r="E16">
        <v>3</v>
      </c>
      <c r="F16">
        <v>223</v>
      </c>
      <c r="G16">
        <v>97</v>
      </c>
      <c r="I16">
        <v>1</v>
      </c>
      <c r="J16">
        <v>0</v>
      </c>
      <c r="K16">
        <v>1</v>
      </c>
      <c r="L16">
        <v>102</v>
      </c>
      <c r="M16">
        <v>2</v>
      </c>
      <c r="T16" s="16">
        <f>VLOOKUP(B16,Deployment!$A$1:$H$500,4,FALSE)</f>
        <v>40620.63958333333</v>
      </c>
      <c r="U16" s="17" t="str">
        <f>CONCATENATE(VLOOKUP(VLOOKUP(B16,Deployment!$A$1:$H$500,2,FALSE),Logger!$A$1:$F$500,3,FALSE),"/",VLOOKUP(VLOOKUP(B16,Deployment!$A$1:$H$500,2,FALSE),Logger!$A$1:$F$500,4,FALSE),"/",VLOOKUP(VLOOKUP(B16,Deployment!$A$1:$H$500,2,FALSE),Logger!$A$1:$F$500,5,FALSE))</f>
        <v>In-Situ/miniTROLL/1902</v>
      </c>
      <c r="V16" s="17" t="str">
        <f>VLOOKUP(C16,Sites!$A$4:$B$501,2,FALSE)</f>
        <v>WELL003</v>
      </c>
      <c r="W16" s="17" t="str">
        <f>CONCATENATE(VLOOKUP(E16,Sensors!$A$1:$G$500,4,FALSE),"/",VLOOKUP(E16,Sensors!$A$1:$G$500,5,FALSE),"/",VLOOKUP(E16,Sensors!$A$1:$G$500,6,FALSE))</f>
        <v>In-Situ/miniTROLL/1902</v>
      </c>
      <c r="X16" s="17" t="str">
        <f>VLOOKUP(F16,Variables!$A$2:$E$500, 2, FALSE)</f>
        <v>Temperature</v>
      </c>
      <c r="Y16" s="17" t="str">
        <f>VLOOKUP(G16,UnitsCV!$A$1:$D$500,4,FALSE)</f>
        <v>degF</v>
      </c>
      <c r="Z16" s="17" t="str">
        <f>VLOOKUP(K16,DataTypeCV!$A$1:$C$500,2,FALSE)</f>
        <v>Average</v>
      </c>
      <c r="AA16" s="17" t="str">
        <f>VLOOKUP(L16,UnitsCV!$A$1:$D$500,4,FALSE)</f>
        <v>min</v>
      </c>
      <c r="AC16" s="16" t="str">
        <f t="shared" si="0"/>
        <v>853223971011022</v>
      </c>
    </row>
    <row r="17" spans="1:29" x14ac:dyDescent="0.2">
      <c r="A17">
        <v>16</v>
      </c>
      <c r="B17">
        <v>8</v>
      </c>
      <c r="C17">
        <v>5</v>
      </c>
      <c r="E17">
        <v>3</v>
      </c>
      <c r="F17">
        <v>232</v>
      </c>
      <c r="G17">
        <v>91</v>
      </c>
      <c r="I17">
        <v>2</v>
      </c>
      <c r="J17">
        <v>0</v>
      </c>
      <c r="K17">
        <v>1</v>
      </c>
      <c r="L17">
        <v>102</v>
      </c>
      <c r="M17">
        <v>2</v>
      </c>
      <c r="T17" s="16">
        <f>VLOOKUP(B17,Deployment!$A$1:$H$500,4,FALSE)</f>
        <v>40620.63958333333</v>
      </c>
      <c r="U17" s="17" t="str">
        <f>CONCATENATE(VLOOKUP(VLOOKUP(B17,Deployment!$A$1:$H$500,2,FALSE),Logger!$A$1:$F$500,3,FALSE),"/",VLOOKUP(VLOOKUP(B17,Deployment!$A$1:$H$500,2,FALSE),Logger!$A$1:$F$500,4,FALSE),"/",VLOOKUP(VLOOKUP(B17,Deployment!$A$1:$H$500,2,FALSE),Logger!$A$1:$F$500,5,FALSE))</f>
        <v>In-Situ/miniTROLL/1902</v>
      </c>
      <c r="V17" s="17" t="str">
        <f>VLOOKUP(C17,Sites!$A$4:$B$501,2,FALSE)</f>
        <v>WELL003</v>
      </c>
      <c r="W17" s="17" t="str">
        <f>CONCATENATE(VLOOKUP(E17,Sensors!$A$1:$G$500,4,FALSE),"/",VLOOKUP(E17,Sensors!$A$1:$G$500,5,FALSE),"/",VLOOKUP(E17,Sensors!$A$1:$G$500,6,FALSE))</f>
        <v>In-Situ/miniTROLL/1902</v>
      </c>
      <c r="X17" s="17" t="str">
        <f>VLOOKUP(F17,Variables!$A$2:$E$500, 2, FALSE)</f>
        <v>Vented Water Pressure</v>
      </c>
      <c r="Y17" s="17" t="str">
        <f>VLOOKUP(G17,UnitsCV!$A$1:$D$500,4,FALSE)</f>
        <v>psi</v>
      </c>
      <c r="Z17" s="17" t="str">
        <f>VLOOKUP(K17,DataTypeCV!$A$1:$C$500,2,FALSE)</f>
        <v>Average</v>
      </c>
      <c r="AA17" s="17" t="str">
        <f>VLOOKUP(L17,UnitsCV!$A$1:$D$500,4,FALSE)</f>
        <v>min</v>
      </c>
      <c r="AC17" s="16" t="str">
        <f t="shared" si="0"/>
        <v>853232912011022</v>
      </c>
    </row>
    <row r="18" spans="1:29" x14ac:dyDescent="0.2">
      <c r="A18">
        <v>17</v>
      </c>
      <c r="B18">
        <v>9</v>
      </c>
      <c r="C18">
        <v>1</v>
      </c>
      <c r="E18">
        <v>4</v>
      </c>
      <c r="F18">
        <v>17</v>
      </c>
      <c r="G18">
        <v>345</v>
      </c>
      <c r="I18">
        <v>1</v>
      </c>
      <c r="J18">
        <v>0</v>
      </c>
      <c r="K18">
        <v>1</v>
      </c>
      <c r="L18">
        <v>102</v>
      </c>
      <c r="M18" s="7">
        <v>1</v>
      </c>
      <c r="T18" s="16">
        <f>VLOOKUP(B18,Deployment!$A$1:$H$500,4,FALSE)</f>
        <v>39457.513888888891</v>
      </c>
      <c r="U18" s="17" t="str">
        <f>CONCATENATE(VLOOKUP(VLOOKUP(B18,Deployment!$A$1:$H$500,2,FALSE),Logger!$A$1:$F$500,3,FALSE),"/",VLOOKUP(VLOOKUP(B18,Deployment!$A$1:$H$500,2,FALSE),Logger!$A$1:$F$500,4,FALSE),"/",VLOOKUP(VLOOKUP(B18,Deployment!$A$1:$H$500,2,FALSE),Logger!$A$1:$F$500,5,FALSE))</f>
        <v>Solinst/BaroLogger Gold/1026688</v>
      </c>
      <c r="V18" s="17" t="str">
        <f>VLOOKUP(C18,Sites!$A$4:$B$501,2,FALSE)</f>
        <v>WCC000</v>
      </c>
      <c r="W18" s="17" t="str">
        <f>CONCATENATE(VLOOKUP(E18,Sensors!$A$1:$G$500,4,FALSE),"/",VLOOKUP(E18,Sensors!$A$1:$G$500,5,FALSE),"/",VLOOKUP(E18,Sensors!$A$1:$G$500,6,FALSE))</f>
        <v>Solinst/BaroLogger Gold/1026688</v>
      </c>
      <c r="X18" s="17" t="str">
        <f>VLOOKUP(F18,Variables!$A$2:$E$500, 2, FALSE)</f>
        <v>Barometric pressure</v>
      </c>
      <c r="Y18" s="17" t="str">
        <f>VLOOKUP(G18,UnitsCV!$A$1:$D$500,4,FALSE)</f>
        <v>m H2O</v>
      </c>
      <c r="Z18" s="17" t="str">
        <f>VLOOKUP(K18,DataTypeCV!$A$1:$C$500,2,FALSE)</f>
        <v>Average</v>
      </c>
      <c r="AA18" s="17" t="str">
        <f>VLOOKUP(L18,UnitsCV!$A$1:$D$500,4,FALSE)</f>
        <v>min</v>
      </c>
      <c r="AC18" s="16" t="str">
        <f t="shared" si="0"/>
        <v>914173451011021</v>
      </c>
    </row>
    <row r="19" spans="1:29" x14ac:dyDescent="0.2">
      <c r="A19">
        <v>18</v>
      </c>
      <c r="B19">
        <v>9</v>
      </c>
      <c r="C19">
        <v>1</v>
      </c>
      <c r="E19">
        <v>4</v>
      </c>
      <c r="F19">
        <v>223</v>
      </c>
      <c r="G19">
        <v>96</v>
      </c>
      <c r="I19">
        <v>2</v>
      </c>
      <c r="J19">
        <v>0</v>
      </c>
      <c r="K19">
        <v>1</v>
      </c>
      <c r="L19">
        <v>102</v>
      </c>
      <c r="M19" s="7">
        <v>1</v>
      </c>
      <c r="T19" s="16">
        <f>VLOOKUP(B19,Deployment!$A$1:$H$500,4,FALSE)</f>
        <v>39457.513888888891</v>
      </c>
      <c r="U19" s="17" t="str">
        <f>CONCATENATE(VLOOKUP(VLOOKUP(B19,Deployment!$A$1:$H$500,2,FALSE),Logger!$A$1:$F$500,3,FALSE),"/",VLOOKUP(VLOOKUP(B19,Deployment!$A$1:$H$500,2,FALSE),Logger!$A$1:$F$500,4,FALSE),"/",VLOOKUP(VLOOKUP(B19,Deployment!$A$1:$H$500,2,FALSE),Logger!$A$1:$F$500,5,FALSE))</f>
        <v>Solinst/BaroLogger Gold/1026688</v>
      </c>
      <c r="V19" s="17" t="str">
        <f>VLOOKUP(C19,Sites!$A$4:$B$501,2,FALSE)</f>
        <v>WCC000</v>
      </c>
      <c r="W19" s="17" t="str">
        <f>CONCATENATE(VLOOKUP(E19,Sensors!$A$1:$G$500,4,FALSE),"/",VLOOKUP(E19,Sensors!$A$1:$G$500,5,FALSE),"/",VLOOKUP(E19,Sensors!$A$1:$G$500,6,FALSE))</f>
        <v>Solinst/BaroLogger Gold/1026688</v>
      </c>
      <c r="X19" s="17" t="str">
        <f>VLOOKUP(F19,Variables!$A$2:$E$500, 2, FALSE)</f>
        <v>Temperature</v>
      </c>
      <c r="Y19" s="17" t="str">
        <f>VLOOKUP(G19,UnitsCV!$A$1:$D$500,4,FALSE)</f>
        <v>degC</v>
      </c>
      <c r="Z19" s="17" t="str">
        <f>VLOOKUP(K19,DataTypeCV!$A$1:$C$500,2,FALSE)</f>
        <v>Average</v>
      </c>
      <c r="AA19" s="17" t="str">
        <f>VLOOKUP(L19,UnitsCV!$A$1:$D$500,4,FALSE)</f>
        <v>min</v>
      </c>
      <c r="AC19" s="16" t="str">
        <f t="shared" si="0"/>
        <v>914223962011021</v>
      </c>
    </row>
    <row r="20" spans="1:29" x14ac:dyDescent="0.2">
      <c r="A20">
        <v>19</v>
      </c>
      <c r="B20">
        <v>10</v>
      </c>
      <c r="C20">
        <v>1</v>
      </c>
      <c r="E20">
        <v>4</v>
      </c>
      <c r="F20">
        <v>17</v>
      </c>
      <c r="G20">
        <v>345</v>
      </c>
      <c r="I20">
        <v>1</v>
      </c>
      <c r="J20">
        <v>0</v>
      </c>
      <c r="K20">
        <v>1</v>
      </c>
      <c r="L20">
        <v>102</v>
      </c>
      <c r="M20" s="7">
        <v>1</v>
      </c>
      <c r="T20" s="16">
        <f>VLOOKUP(B20,Deployment!$A$1:$H$500,4,FALSE)</f>
        <v>39531.635416666664</v>
      </c>
      <c r="U20" s="17" t="str">
        <f>CONCATENATE(VLOOKUP(VLOOKUP(B20,Deployment!$A$1:$H$500,2,FALSE),Logger!$A$1:$F$500,3,FALSE),"/",VLOOKUP(VLOOKUP(B20,Deployment!$A$1:$H$500,2,FALSE),Logger!$A$1:$F$500,4,FALSE),"/",VLOOKUP(VLOOKUP(B20,Deployment!$A$1:$H$500,2,FALSE),Logger!$A$1:$F$500,5,FALSE))</f>
        <v>Solinst/BaroLogger Gold/1026688</v>
      </c>
      <c r="V20" s="17" t="str">
        <f>VLOOKUP(C20,Sites!$A$4:$B$501,2,FALSE)</f>
        <v>WCC000</v>
      </c>
      <c r="W20" s="17" t="str">
        <f>CONCATENATE(VLOOKUP(E20,Sensors!$A$1:$G$500,4,FALSE),"/",VLOOKUP(E20,Sensors!$A$1:$G$500,5,FALSE),"/",VLOOKUP(E20,Sensors!$A$1:$G$500,6,FALSE))</f>
        <v>Solinst/BaroLogger Gold/1026688</v>
      </c>
      <c r="X20" s="17" t="str">
        <f>VLOOKUP(F20,Variables!$A$2:$E$500, 2, FALSE)</f>
        <v>Barometric pressure</v>
      </c>
      <c r="Y20" s="17" t="str">
        <f>VLOOKUP(G20,UnitsCV!$A$1:$D$500,4,FALSE)</f>
        <v>m H2O</v>
      </c>
      <c r="Z20" s="17" t="str">
        <f>VLOOKUP(K20,DataTypeCV!$A$1:$C$500,2,FALSE)</f>
        <v>Average</v>
      </c>
      <c r="AA20" s="17" t="str">
        <f>VLOOKUP(L20,UnitsCV!$A$1:$D$500,4,FALSE)</f>
        <v>min</v>
      </c>
      <c r="AC20" s="16" t="str">
        <f t="shared" si="0"/>
        <v>1014173451011021</v>
      </c>
    </row>
    <row r="21" spans="1:29" x14ac:dyDescent="0.2">
      <c r="A21">
        <v>20</v>
      </c>
      <c r="B21">
        <v>10</v>
      </c>
      <c r="C21">
        <v>1</v>
      </c>
      <c r="E21">
        <v>4</v>
      </c>
      <c r="F21">
        <v>223</v>
      </c>
      <c r="G21">
        <v>96</v>
      </c>
      <c r="I21">
        <v>2</v>
      </c>
      <c r="J21">
        <v>0</v>
      </c>
      <c r="K21">
        <v>1</v>
      </c>
      <c r="L21">
        <v>102</v>
      </c>
      <c r="M21" s="7">
        <v>1</v>
      </c>
      <c r="T21" s="16">
        <f>VLOOKUP(B21,Deployment!$A$1:$H$500,4,FALSE)</f>
        <v>39531.635416666664</v>
      </c>
      <c r="U21" s="17" t="str">
        <f>CONCATENATE(VLOOKUP(VLOOKUP(B21,Deployment!$A$1:$H$500,2,FALSE),Logger!$A$1:$F$500,3,FALSE),"/",VLOOKUP(VLOOKUP(B21,Deployment!$A$1:$H$500,2,FALSE),Logger!$A$1:$F$500,4,FALSE),"/",VLOOKUP(VLOOKUP(B21,Deployment!$A$1:$H$500,2,FALSE),Logger!$A$1:$F$500,5,FALSE))</f>
        <v>Solinst/BaroLogger Gold/1026688</v>
      </c>
      <c r="V21" s="17" t="str">
        <f>VLOOKUP(C21,Sites!$A$4:$B$501,2,FALSE)</f>
        <v>WCC000</v>
      </c>
      <c r="W21" s="17" t="str">
        <f>CONCATENATE(VLOOKUP(E21,Sensors!$A$1:$G$500,4,FALSE),"/",VLOOKUP(E21,Sensors!$A$1:$G$500,5,FALSE),"/",VLOOKUP(E21,Sensors!$A$1:$G$500,6,FALSE))</f>
        <v>Solinst/BaroLogger Gold/1026688</v>
      </c>
      <c r="X21" s="17" t="str">
        <f>VLOOKUP(F21,Variables!$A$2:$E$500, 2, FALSE)</f>
        <v>Temperature</v>
      </c>
      <c r="Y21" s="17" t="str">
        <f>VLOOKUP(G21,UnitsCV!$A$1:$D$500,4,FALSE)</f>
        <v>degC</v>
      </c>
      <c r="Z21" s="17" t="str">
        <f>VLOOKUP(K21,DataTypeCV!$A$1:$C$500,2,FALSE)</f>
        <v>Average</v>
      </c>
      <c r="AA21" s="17" t="str">
        <f>VLOOKUP(L21,UnitsCV!$A$1:$D$500,4,FALSE)</f>
        <v>min</v>
      </c>
      <c r="AC21" s="16" t="str">
        <f t="shared" si="0"/>
        <v>1014223962011021</v>
      </c>
    </row>
    <row r="22" spans="1:29" x14ac:dyDescent="0.2">
      <c r="A22">
        <v>21</v>
      </c>
      <c r="B22">
        <v>11</v>
      </c>
      <c r="C22">
        <v>1</v>
      </c>
      <c r="E22">
        <v>4</v>
      </c>
      <c r="F22">
        <v>17</v>
      </c>
      <c r="G22">
        <v>345</v>
      </c>
      <c r="I22">
        <v>1</v>
      </c>
      <c r="J22">
        <v>0</v>
      </c>
      <c r="K22">
        <v>1</v>
      </c>
      <c r="L22">
        <v>102</v>
      </c>
      <c r="M22" s="7">
        <v>1</v>
      </c>
      <c r="T22" s="16">
        <f>VLOOKUP(B22,Deployment!$A$1:$H$500,4,FALSE)</f>
        <v>39773.545138888891</v>
      </c>
      <c r="U22" s="17" t="str">
        <f>CONCATENATE(VLOOKUP(VLOOKUP(B22,Deployment!$A$1:$H$500,2,FALSE),Logger!$A$1:$F$500,3,FALSE),"/",VLOOKUP(VLOOKUP(B22,Deployment!$A$1:$H$500,2,FALSE),Logger!$A$1:$F$500,4,FALSE),"/",VLOOKUP(VLOOKUP(B22,Deployment!$A$1:$H$500,2,FALSE),Logger!$A$1:$F$500,5,FALSE))</f>
        <v>Solinst/BaroLogger Gold/1026688</v>
      </c>
      <c r="V22" s="17" t="str">
        <f>VLOOKUP(C22,Sites!$A$4:$B$501,2,FALSE)</f>
        <v>WCC000</v>
      </c>
      <c r="W22" s="17" t="str">
        <f>CONCATENATE(VLOOKUP(E22,Sensors!$A$1:$G$500,4,FALSE),"/",VLOOKUP(E22,Sensors!$A$1:$G$500,5,FALSE),"/",VLOOKUP(E22,Sensors!$A$1:$G$500,6,FALSE))</f>
        <v>Solinst/BaroLogger Gold/1026688</v>
      </c>
      <c r="X22" s="17" t="str">
        <f>VLOOKUP(F22,Variables!$A$2:$E$500, 2, FALSE)</f>
        <v>Barometric pressure</v>
      </c>
      <c r="Y22" s="17" t="str">
        <f>VLOOKUP(G22,UnitsCV!$A$1:$D$500,4,FALSE)</f>
        <v>m H2O</v>
      </c>
      <c r="Z22" s="17" t="str">
        <f>VLOOKUP(K22,DataTypeCV!$A$1:$C$500,2,FALSE)</f>
        <v>Average</v>
      </c>
      <c r="AA22" s="17" t="str">
        <f>VLOOKUP(L22,UnitsCV!$A$1:$D$500,4,FALSE)</f>
        <v>min</v>
      </c>
      <c r="AC22" s="16" t="str">
        <f t="shared" si="0"/>
        <v>1114173451011021</v>
      </c>
    </row>
    <row r="23" spans="1:29" x14ac:dyDescent="0.2">
      <c r="A23">
        <v>22</v>
      </c>
      <c r="B23">
        <v>11</v>
      </c>
      <c r="C23">
        <v>1</v>
      </c>
      <c r="E23">
        <v>4</v>
      </c>
      <c r="F23">
        <v>223</v>
      </c>
      <c r="G23">
        <v>96</v>
      </c>
      <c r="I23">
        <v>2</v>
      </c>
      <c r="J23">
        <v>0</v>
      </c>
      <c r="K23">
        <v>1</v>
      </c>
      <c r="L23">
        <v>102</v>
      </c>
      <c r="M23" s="7">
        <v>1</v>
      </c>
      <c r="T23" s="16">
        <f>VLOOKUP(B23,Deployment!$A$1:$H$500,4,FALSE)</f>
        <v>39773.545138888891</v>
      </c>
      <c r="U23" s="17" t="str">
        <f>CONCATENATE(VLOOKUP(VLOOKUP(B23,Deployment!$A$1:$H$500,2,FALSE),Logger!$A$1:$F$500,3,FALSE),"/",VLOOKUP(VLOOKUP(B23,Deployment!$A$1:$H$500,2,FALSE),Logger!$A$1:$F$500,4,FALSE),"/",VLOOKUP(VLOOKUP(B23,Deployment!$A$1:$H$500,2,FALSE),Logger!$A$1:$F$500,5,FALSE))</f>
        <v>Solinst/BaroLogger Gold/1026688</v>
      </c>
      <c r="V23" s="17" t="str">
        <f>VLOOKUP(C23,Sites!$A$4:$B$501,2,FALSE)</f>
        <v>WCC000</v>
      </c>
      <c r="W23" s="17" t="str">
        <f>CONCATENATE(VLOOKUP(E23,Sensors!$A$1:$G$500,4,FALSE),"/",VLOOKUP(E23,Sensors!$A$1:$G$500,5,FALSE),"/",VLOOKUP(E23,Sensors!$A$1:$G$500,6,FALSE))</f>
        <v>Solinst/BaroLogger Gold/1026688</v>
      </c>
      <c r="X23" s="17" t="str">
        <f>VLOOKUP(F23,Variables!$A$2:$E$500, 2, FALSE)</f>
        <v>Temperature</v>
      </c>
      <c r="Y23" s="17" t="str">
        <f>VLOOKUP(G23,UnitsCV!$A$1:$D$500,4,FALSE)</f>
        <v>degC</v>
      </c>
      <c r="Z23" s="17" t="str">
        <f>VLOOKUP(K23,DataTypeCV!$A$1:$C$500,2,FALSE)</f>
        <v>Average</v>
      </c>
      <c r="AA23" s="17" t="str">
        <f>VLOOKUP(L23,UnitsCV!$A$1:$D$500,4,FALSE)</f>
        <v>min</v>
      </c>
      <c r="AC23" s="16" t="str">
        <f t="shared" si="0"/>
        <v>1114223962011021</v>
      </c>
    </row>
    <row r="24" spans="1:29" x14ac:dyDescent="0.2">
      <c r="A24">
        <v>23</v>
      </c>
      <c r="B24">
        <v>12</v>
      </c>
      <c r="C24">
        <v>1</v>
      </c>
      <c r="E24">
        <v>4</v>
      </c>
      <c r="F24">
        <v>17</v>
      </c>
      <c r="G24">
        <v>345</v>
      </c>
      <c r="I24">
        <v>1</v>
      </c>
      <c r="J24">
        <v>0</v>
      </c>
      <c r="K24">
        <v>1</v>
      </c>
      <c r="L24">
        <v>102</v>
      </c>
      <c r="M24" s="7">
        <v>1</v>
      </c>
      <c r="T24" s="16">
        <f>VLOOKUP(B24,Deployment!$A$1:$H$500,4,FALSE)</f>
        <v>39888.552083333336</v>
      </c>
      <c r="U24" s="17" t="str">
        <f>CONCATENATE(VLOOKUP(VLOOKUP(B24,Deployment!$A$1:$H$500,2,FALSE),Logger!$A$1:$F$500,3,FALSE),"/",VLOOKUP(VLOOKUP(B24,Deployment!$A$1:$H$500,2,FALSE),Logger!$A$1:$F$500,4,FALSE),"/",VLOOKUP(VLOOKUP(B24,Deployment!$A$1:$H$500,2,FALSE),Logger!$A$1:$F$500,5,FALSE))</f>
        <v>Solinst/BaroLogger Gold/1026688</v>
      </c>
      <c r="V24" s="17" t="str">
        <f>VLOOKUP(C24,Sites!$A$4:$B$501,2,FALSE)</f>
        <v>WCC000</v>
      </c>
      <c r="W24" s="17" t="str">
        <f>CONCATENATE(VLOOKUP(E24,Sensors!$A$1:$G$500,4,FALSE),"/",VLOOKUP(E24,Sensors!$A$1:$G$500,5,FALSE),"/",VLOOKUP(E24,Sensors!$A$1:$G$500,6,FALSE))</f>
        <v>Solinst/BaroLogger Gold/1026688</v>
      </c>
      <c r="X24" s="17" t="str">
        <f>VLOOKUP(F24,Variables!$A$2:$E$500, 2, FALSE)</f>
        <v>Barometric pressure</v>
      </c>
      <c r="Y24" s="17" t="str">
        <f>VLOOKUP(G24,UnitsCV!$A$1:$D$500,4,FALSE)</f>
        <v>m H2O</v>
      </c>
      <c r="Z24" s="17" t="str">
        <f>VLOOKUP(K24,DataTypeCV!$A$1:$C$500,2,FALSE)</f>
        <v>Average</v>
      </c>
      <c r="AA24" s="17" t="str">
        <f>VLOOKUP(L24,UnitsCV!$A$1:$D$500,4,FALSE)</f>
        <v>min</v>
      </c>
      <c r="AC24" s="16" t="str">
        <f t="shared" si="0"/>
        <v>1214173451011021</v>
      </c>
    </row>
    <row r="25" spans="1:29" x14ac:dyDescent="0.2">
      <c r="A25">
        <v>24</v>
      </c>
      <c r="B25">
        <v>12</v>
      </c>
      <c r="C25">
        <v>1</v>
      </c>
      <c r="E25">
        <v>4</v>
      </c>
      <c r="F25">
        <v>223</v>
      </c>
      <c r="G25">
        <v>96</v>
      </c>
      <c r="I25">
        <v>2</v>
      </c>
      <c r="J25">
        <v>0</v>
      </c>
      <c r="K25">
        <v>1</v>
      </c>
      <c r="L25">
        <v>102</v>
      </c>
      <c r="M25" s="7">
        <v>1</v>
      </c>
      <c r="T25" s="16">
        <f>VLOOKUP(B25,Deployment!$A$1:$H$500,4,FALSE)</f>
        <v>39888.552083333336</v>
      </c>
      <c r="U25" s="17" t="str">
        <f>CONCATENATE(VLOOKUP(VLOOKUP(B25,Deployment!$A$1:$H$500,2,FALSE),Logger!$A$1:$F$500,3,FALSE),"/",VLOOKUP(VLOOKUP(B25,Deployment!$A$1:$H$500,2,FALSE),Logger!$A$1:$F$500,4,FALSE),"/",VLOOKUP(VLOOKUP(B25,Deployment!$A$1:$H$500,2,FALSE),Logger!$A$1:$F$500,5,FALSE))</f>
        <v>Solinst/BaroLogger Gold/1026688</v>
      </c>
      <c r="V25" s="17" t="str">
        <f>VLOOKUP(C25,Sites!$A$4:$B$501,2,FALSE)</f>
        <v>WCC000</v>
      </c>
      <c r="W25" s="17" t="str">
        <f>CONCATENATE(VLOOKUP(E25,Sensors!$A$1:$G$500,4,FALSE),"/",VLOOKUP(E25,Sensors!$A$1:$G$500,5,FALSE),"/",VLOOKUP(E25,Sensors!$A$1:$G$500,6,FALSE))</f>
        <v>Solinst/BaroLogger Gold/1026688</v>
      </c>
      <c r="X25" s="17" t="str">
        <f>VLOOKUP(F25,Variables!$A$2:$E$500, 2, FALSE)</f>
        <v>Temperature</v>
      </c>
      <c r="Y25" s="17" t="str">
        <f>VLOOKUP(G25,UnitsCV!$A$1:$D$500,4,FALSE)</f>
        <v>degC</v>
      </c>
      <c r="Z25" s="17" t="str">
        <f>VLOOKUP(K25,DataTypeCV!$A$1:$C$500,2,FALSE)</f>
        <v>Average</v>
      </c>
      <c r="AA25" s="17" t="str">
        <f>VLOOKUP(L25,UnitsCV!$A$1:$D$500,4,FALSE)</f>
        <v>min</v>
      </c>
      <c r="AC25" s="16" t="str">
        <f t="shared" si="0"/>
        <v>1214223962011021</v>
      </c>
    </row>
    <row r="26" spans="1:29" x14ac:dyDescent="0.2">
      <c r="A26">
        <v>25</v>
      </c>
      <c r="B26">
        <v>13</v>
      </c>
      <c r="C26">
        <v>1</v>
      </c>
      <c r="E26">
        <v>4</v>
      </c>
      <c r="F26">
        <v>17</v>
      </c>
      <c r="G26">
        <v>345</v>
      </c>
      <c r="I26">
        <v>1</v>
      </c>
      <c r="J26">
        <v>0</v>
      </c>
      <c r="K26">
        <v>1</v>
      </c>
      <c r="L26">
        <v>102</v>
      </c>
      <c r="M26" s="7">
        <v>1</v>
      </c>
      <c r="T26" s="16">
        <f>VLOOKUP(B26,Deployment!$A$1:$H$500,4,FALSE)</f>
        <v>39910.59375</v>
      </c>
      <c r="U26" s="17" t="str">
        <f>CONCATENATE(VLOOKUP(VLOOKUP(B26,Deployment!$A$1:$H$500,2,FALSE),Logger!$A$1:$F$500,3,FALSE),"/",VLOOKUP(VLOOKUP(B26,Deployment!$A$1:$H$500,2,FALSE),Logger!$A$1:$F$500,4,FALSE),"/",VLOOKUP(VLOOKUP(B26,Deployment!$A$1:$H$500,2,FALSE),Logger!$A$1:$F$500,5,FALSE))</f>
        <v>Solinst/BaroLogger Gold/1026688</v>
      </c>
      <c r="V26" s="17" t="str">
        <f>VLOOKUP(C26,Sites!$A$4:$B$501,2,FALSE)</f>
        <v>WCC000</v>
      </c>
      <c r="W26" s="17" t="str">
        <f>CONCATENATE(VLOOKUP(E26,Sensors!$A$1:$G$500,4,FALSE),"/",VLOOKUP(E26,Sensors!$A$1:$G$500,5,FALSE),"/",VLOOKUP(E26,Sensors!$A$1:$G$500,6,FALSE))</f>
        <v>Solinst/BaroLogger Gold/1026688</v>
      </c>
      <c r="X26" s="17" t="str">
        <f>VLOOKUP(F26,Variables!$A$2:$E$500, 2, FALSE)</f>
        <v>Barometric pressure</v>
      </c>
      <c r="Y26" s="17" t="str">
        <f>VLOOKUP(G26,UnitsCV!$A$1:$D$500,4,FALSE)</f>
        <v>m H2O</v>
      </c>
      <c r="Z26" s="17" t="str">
        <f>VLOOKUP(K26,DataTypeCV!$A$1:$C$500,2,FALSE)</f>
        <v>Average</v>
      </c>
      <c r="AA26" s="17" t="str">
        <f>VLOOKUP(L26,UnitsCV!$A$1:$D$500,4,FALSE)</f>
        <v>min</v>
      </c>
      <c r="AC26" s="16" t="str">
        <f t="shared" si="0"/>
        <v>1314173451011021</v>
      </c>
    </row>
    <row r="27" spans="1:29" x14ac:dyDescent="0.2">
      <c r="A27">
        <v>26</v>
      </c>
      <c r="B27">
        <v>13</v>
      </c>
      <c r="C27">
        <v>1</v>
      </c>
      <c r="E27">
        <v>4</v>
      </c>
      <c r="F27">
        <v>223</v>
      </c>
      <c r="G27">
        <v>96</v>
      </c>
      <c r="I27">
        <v>2</v>
      </c>
      <c r="J27">
        <v>0</v>
      </c>
      <c r="K27">
        <v>1</v>
      </c>
      <c r="L27">
        <v>102</v>
      </c>
      <c r="M27" s="7">
        <v>1</v>
      </c>
      <c r="T27" s="16">
        <f>VLOOKUP(B27,Deployment!$A$1:$H$500,4,FALSE)</f>
        <v>39910.59375</v>
      </c>
      <c r="U27" s="17" t="str">
        <f>CONCATENATE(VLOOKUP(VLOOKUP(B27,Deployment!$A$1:$H$500,2,FALSE),Logger!$A$1:$F$500,3,FALSE),"/",VLOOKUP(VLOOKUP(B27,Deployment!$A$1:$H$500,2,FALSE),Logger!$A$1:$F$500,4,FALSE),"/",VLOOKUP(VLOOKUP(B27,Deployment!$A$1:$H$500,2,FALSE),Logger!$A$1:$F$500,5,FALSE))</f>
        <v>Solinst/BaroLogger Gold/1026688</v>
      </c>
      <c r="V27" s="17" t="str">
        <f>VLOOKUP(C27,Sites!$A$4:$B$501,2,FALSE)</f>
        <v>WCC000</v>
      </c>
      <c r="W27" s="17" t="str">
        <f>CONCATENATE(VLOOKUP(E27,Sensors!$A$1:$G$500,4,FALSE),"/",VLOOKUP(E27,Sensors!$A$1:$G$500,5,FALSE),"/",VLOOKUP(E27,Sensors!$A$1:$G$500,6,FALSE))</f>
        <v>Solinst/BaroLogger Gold/1026688</v>
      </c>
      <c r="X27" s="17" t="str">
        <f>VLOOKUP(F27,Variables!$A$2:$E$500, 2, FALSE)</f>
        <v>Temperature</v>
      </c>
      <c r="Y27" s="17" t="str">
        <f>VLOOKUP(G27,UnitsCV!$A$1:$D$500,4,FALSE)</f>
        <v>degC</v>
      </c>
      <c r="Z27" s="17" t="str">
        <f>VLOOKUP(K27,DataTypeCV!$A$1:$C$500,2,FALSE)</f>
        <v>Average</v>
      </c>
      <c r="AA27" s="17" t="str">
        <f>VLOOKUP(L27,UnitsCV!$A$1:$D$500,4,FALSE)</f>
        <v>min</v>
      </c>
      <c r="AC27" s="16" t="str">
        <f t="shared" si="0"/>
        <v>1314223962011021</v>
      </c>
    </row>
    <row r="28" spans="1:29" x14ac:dyDescent="0.2">
      <c r="A28">
        <v>27</v>
      </c>
      <c r="B28">
        <v>14</v>
      </c>
      <c r="C28">
        <v>1</v>
      </c>
      <c r="E28">
        <v>4</v>
      </c>
      <c r="F28">
        <v>17</v>
      </c>
      <c r="G28">
        <v>345</v>
      </c>
      <c r="I28">
        <v>1</v>
      </c>
      <c r="J28">
        <v>0</v>
      </c>
      <c r="K28">
        <v>1</v>
      </c>
      <c r="L28">
        <v>102</v>
      </c>
      <c r="M28" s="7">
        <v>1</v>
      </c>
      <c r="T28" s="16">
        <f>VLOOKUP(B28,Deployment!$A$1:$H$500,4,FALSE)</f>
        <v>40232.53125</v>
      </c>
      <c r="U28" s="17" t="str">
        <f>CONCATENATE(VLOOKUP(VLOOKUP(B28,Deployment!$A$1:$H$500,2,FALSE),Logger!$A$1:$F$500,3,FALSE),"/",VLOOKUP(VLOOKUP(B28,Deployment!$A$1:$H$500,2,FALSE),Logger!$A$1:$F$500,4,FALSE),"/",VLOOKUP(VLOOKUP(B28,Deployment!$A$1:$H$500,2,FALSE),Logger!$A$1:$F$500,5,FALSE))</f>
        <v>Solinst/BaroLogger Gold/1026688</v>
      </c>
      <c r="V28" s="17" t="str">
        <f>VLOOKUP(C28,Sites!$A$4:$B$501,2,FALSE)</f>
        <v>WCC000</v>
      </c>
      <c r="W28" s="17" t="str">
        <f>CONCATENATE(VLOOKUP(E28,Sensors!$A$1:$G$500,4,FALSE),"/",VLOOKUP(E28,Sensors!$A$1:$G$500,5,FALSE),"/",VLOOKUP(E28,Sensors!$A$1:$G$500,6,FALSE))</f>
        <v>Solinst/BaroLogger Gold/1026688</v>
      </c>
      <c r="X28" s="17" t="str">
        <f>VLOOKUP(F28,Variables!$A$2:$E$500, 2, FALSE)</f>
        <v>Barometric pressure</v>
      </c>
      <c r="Y28" s="17" t="str">
        <f>VLOOKUP(G28,UnitsCV!$A$1:$D$500,4,FALSE)</f>
        <v>m H2O</v>
      </c>
      <c r="Z28" s="17" t="str">
        <f>VLOOKUP(K28,DataTypeCV!$A$1:$C$500,2,FALSE)</f>
        <v>Average</v>
      </c>
      <c r="AA28" s="17" t="str">
        <f>VLOOKUP(L28,UnitsCV!$A$1:$D$500,4,FALSE)</f>
        <v>min</v>
      </c>
      <c r="AC28" s="16" t="str">
        <f t="shared" si="0"/>
        <v>1414173451011021</v>
      </c>
    </row>
    <row r="29" spans="1:29" x14ac:dyDescent="0.2">
      <c r="A29">
        <v>28</v>
      </c>
      <c r="B29">
        <v>14</v>
      </c>
      <c r="C29">
        <v>1</v>
      </c>
      <c r="E29">
        <v>4</v>
      </c>
      <c r="F29">
        <v>223</v>
      </c>
      <c r="G29">
        <v>96</v>
      </c>
      <c r="I29">
        <v>2</v>
      </c>
      <c r="J29">
        <v>0</v>
      </c>
      <c r="K29">
        <v>1</v>
      </c>
      <c r="L29">
        <v>102</v>
      </c>
      <c r="M29" s="7">
        <v>1</v>
      </c>
      <c r="T29" s="16">
        <f>VLOOKUP(B29,Deployment!$A$1:$H$500,4,FALSE)</f>
        <v>40232.53125</v>
      </c>
      <c r="U29" s="17" t="str">
        <f>CONCATENATE(VLOOKUP(VLOOKUP(B29,Deployment!$A$1:$H$500,2,FALSE),Logger!$A$1:$F$500,3,FALSE),"/",VLOOKUP(VLOOKUP(B29,Deployment!$A$1:$H$500,2,FALSE),Logger!$A$1:$F$500,4,FALSE),"/",VLOOKUP(VLOOKUP(B29,Deployment!$A$1:$H$500,2,FALSE),Logger!$A$1:$F$500,5,FALSE))</f>
        <v>Solinst/BaroLogger Gold/1026688</v>
      </c>
      <c r="V29" s="17" t="str">
        <f>VLOOKUP(C29,Sites!$A$4:$B$501,2,FALSE)</f>
        <v>WCC000</v>
      </c>
      <c r="W29" s="17" t="str">
        <f>CONCATENATE(VLOOKUP(E29,Sensors!$A$1:$G$500,4,FALSE),"/",VLOOKUP(E29,Sensors!$A$1:$G$500,5,FALSE),"/",VLOOKUP(E29,Sensors!$A$1:$G$500,6,FALSE))</f>
        <v>Solinst/BaroLogger Gold/1026688</v>
      </c>
      <c r="X29" s="17" t="str">
        <f>VLOOKUP(F29,Variables!$A$2:$E$500, 2, FALSE)</f>
        <v>Temperature</v>
      </c>
      <c r="Y29" s="17" t="str">
        <f>VLOOKUP(G29,UnitsCV!$A$1:$D$500,4,FALSE)</f>
        <v>degC</v>
      </c>
      <c r="Z29" s="17" t="str">
        <f>VLOOKUP(K29,DataTypeCV!$A$1:$C$500,2,FALSE)</f>
        <v>Average</v>
      </c>
      <c r="AA29" s="17" t="str">
        <f>VLOOKUP(L29,UnitsCV!$A$1:$D$500,4,FALSE)</f>
        <v>min</v>
      </c>
      <c r="AC29" s="16" t="str">
        <f t="shared" si="0"/>
        <v>1414223962011021</v>
      </c>
    </row>
    <row r="30" spans="1:29" x14ac:dyDescent="0.2">
      <c r="A30">
        <v>29</v>
      </c>
      <c r="B30">
        <v>15</v>
      </c>
      <c r="C30">
        <v>1</v>
      </c>
      <c r="E30">
        <v>4</v>
      </c>
      <c r="F30">
        <v>17</v>
      </c>
      <c r="G30">
        <v>345</v>
      </c>
      <c r="I30">
        <v>1</v>
      </c>
      <c r="J30">
        <v>0</v>
      </c>
      <c r="K30">
        <v>1</v>
      </c>
      <c r="L30">
        <v>102</v>
      </c>
      <c r="M30" s="7">
        <v>1</v>
      </c>
      <c r="T30" s="16">
        <f>VLOOKUP(B30,Deployment!$A$1:$H$500,4,FALSE)</f>
        <v>40597.569444444445</v>
      </c>
      <c r="U30" s="17" t="str">
        <f>CONCATENATE(VLOOKUP(VLOOKUP(B30,Deployment!$A$1:$H$500,2,FALSE),Logger!$A$1:$F$500,3,FALSE),"/",VLOOKUP(VLOOKUP(B30,Deployment!$A$1:$H$500,2,FALSE),Logger!$A$1:$F$500,4,FALSE),"/",VLOOKUP(VLOOKUP(B30,Deployment!$A$1:$H$500,2,FALSE),Logger!$A$1:$F$500,5,FALSE))</f>
        <v>Solinst/BaroLogger Gold/1026688</v>
      </c>
      <c r="V30" s="17" t="str">
        <f>VLOOKUP(C30,Sites!$A$4:$B$501,2,FALSE)</f>
        <v>WCC000</v>
      </c>
      <c r="W30" s="17" t="str">
        <f>CONCATENATE(VLOOKUP(E30,Sensors!$A$1:$G$500,4,FALSE),"/",VLOOKUP(E30,Sensors!$A$1:$G$500,5,FALSE),"/",VLOOKUP(E30,Sensors!$A$1:$G$500,6,FALSE))</f>
        <v>Solinst/BaroLogger Gold/1026688</v>
      </c>
      <c r="X30" s="17" t="str">
        <f>VLOOKUP(F30,Variables!$A$2:$E$500, 2, FALSE)</f>
        <v>Barometric pressure</v>
      </c>
      <c r="Y30" s="17" t="str">
        <f>VLOOKUP(G30,UnitsCV!$A$1:$D$500,4,FALSE)</f>
        <v>m H2O</v>
      </c>
      <c r="Z30" s="17" t="str">
        <f>VLOOKUP(K30,DataTypeCV!$A$1:$C$500,2,FALSE)</f>
        <v>Average</v>
      </c>
      <c r="AA30" s="17" t="str">
        <f>VLOOKUP(L30,UnitsCV!$A$1:$D$500,4,FALSE)</f>
        <v>min</v>
      </c>
      <c r="AC30" s="16" t="str">
        <f t="shared" si="0"/>
        <v>1514173451011021</v>
      </c>
    </row>
    <row r="31" spans="1:29" x14ac:dyDescent="0.2">
      <c r="A31">
        <v>30</v>
      </c>
      <c r="B31">
        <v>15</v>
      </c>
      <c r="C31">
        <v>1</v>
      </c>
      <c r="E31">
        <v>4</v>
      </c>
      <c r="F31">
        <v>223</v>
      </c>
      <c r="G31">
        <v>96</v>
      </c>
      <c r="I31">
        <v>2</v>
      </c>
      <c r="J31">
        <v>0</v>
      </c>
      <c r="K31">
        <v>1</v>
      </c>
      <c r="L31">
        <v>102</v>
      </c>
      <c r="M31" s="7">
        <v>1</v>
      </c>
      <c r="T31" s="16">
        <f>VLOOKUP(B31,Deployment!$A$1:$H$500,4,FALSE)</f>
        <v>40597.569444444445</v>
      </c>
      <c r="U31" s="17" t="str">
        <f>CONCATENATE(VLOOKUP(VLOOKUP(B31,Deployment!$A$1:$H$500,2,FALSE),Logger!$A$1:$F$500,3,FALSE),"/",VLOOKUP(VLOOKUP(B31,Deployment!$A$1:$H$500,2,FALSE),Logger!$A$1:$F$500,4,FALSE),"/",VLOOKUP(VLOOKUP(B31,Deployment!$A$1:$H$500,2,FALSE),Logger!$A$1:$F$500,5,FALSE))</f>
        <v>Solinst/BaroLogger Gold/1026688</v>
      </c>
      <c r="V31" s="17" t="str">
        <f>VLOOKUP(C31,Sites!$A$4:$B$501,2,FALSE)</f>
        <v>WCC000</v>
      </c>
      <c r="W31" s="17" t="str">
        <f>CONCATENATE(VLOOKUP(E31,Sensors!$A$1:$G$500,4,FALSE),"/",VLOOKUP(E31,Sensors!$A$1:$G$500,5,FALSE),"/",VLOOKUP(E31,Sensors!$A$1:$G$500,6,FALSE))</f>
        <v>Solinst/BaroLogger Gold/1026688</v>
      </c>
      <c r="X31" s="17" t="str">
        <f>VLOOKUP(F31,Variables!$A$2:$E$500, 2, FALSE)</f>
        <v>Temperature</v>
      </c>
      <c r="Y31" s="17" t="str">
        <f>VLOOKUP(G31,UnitsCV!$A$1:$D$500,4,FALSE)</f>
        <v>degC</v>
      </c>
      <c r="Z31" s="17" t="str">
        <f>VLOOKUP(K31,DataTypeCV!$A$1:$C$500,2,FALSE)</f>
        <v>Average</v>
      </c>
      <c r="AA31" s="17" t="str">
        <f>VLOOKUP(L31,UnitsCV!$A$1:$D$500,4,FALSE)</f>
        <v>min</v>
      </c>
      <c r="AC31" s="16" t="str">
        <f t="shared" si="0"/>
        <v>1514223962011021</v>
      </c>
    </row>
    <row r="32" spans="1:29" x14ac:dyDescent="0.2">
      <c r="A32">
        <v>31</v>
      </c>
      <c r="B32">
        <v>16</v>
      </c>
      <c r="C32">
        <v>1</v>
      </c>
      <c r="E32">
        <v>5</v>
      </c>
      <c r="F32">
        <v>5</v>
      </c>
      <c r="G32">
        <v>345</v>
      </c>
      <c r="I32">
        <v>1</v>
      </c>
      <c r="J32">
        <v>0</v>
      </c>
      <c r="K32">
        <v>1</v>
      </c>
      <c r="L32">
        <v>102</v>
      </c>
      <c r="M32" s="7">
        <v>2</v>
      </c>
      <c r="T32" s="16">
        <f>VLOOKUP(B32,Deployment!$A$1:$H$500,4,FALSE)</f>
        <v>39457.513888888891</v>
      </c>
      <c r="U32" s="17" t="str">
        <f>CONCATENATE(VLOOKUP(VLOOKUP(B32,Deployment!$A$1:$H$500,2,FALSE),Logger!$A$1:$F$500,3,FALSE),"/",VLOOKUP(VLOOKUP(B32,Deployment!$A$1:$H$500,2,FALSE),Logger!$A$1:$F$500,4,FALSE),"/",VLOOKUP(VLOOKUP(B32,Deployment!$A$1:$H$500,2,FALSE),Logger!$A$1:$F$500,5,FALSE))</f>
        <v>Solinst/LevelLogger Gold/1027936</v>
      </c>
      <c r="V32" s="17" t="str">
        <f>VLOOKUP(C32,Sites!$A$4:$B$501,2,FALSE)</f>
        <v>WCC000</v>
      </c>
      <c r="W32" s="17" t="str">
        <f>CONCATENATE(VLOOKUP(E32,Sensors!$A$1:$G$500,4,FALSE),"/",VLOOKUP(E32,Sensors!$A$1:$G$500,5,FALSE),"/",VLOOKUP(E32,Sensors!$A$1:$G$500,6,FALSE))</f>
        <v>Solinst/LevelLogger Gold/1027936</v>
      </c>
      <c r="X32" s="17" t="str">
        <f>VLOOKUP(F32,Variables!$A$2:$E$500, 2, FALSE)</f>
        <v>Absolute Pressure</v>
      </c>
      <c r="Y32" s="17" t="str">
        <f>VLOOKUP(G32,UnitsCV!$A$1:$D$500,4,FALSE)</f>
        <v>m H2O</v>
      </c>
      <c r="Z32" s="17" t="str">
        <f>VLOOKUP(K32,DataTypeCV!$A$1:$C$500,2,FALSE)</f>
        <v>Average</v>
      </c>
      <c r="AA32" s="17" t="str">
        <f>VLOOKUP(L32,UnitsCV!$A$1:$D$500,4,FALSE)</f>
        <v>min</v>
      </c>
      <c r="AC32" s="16" t="str">
        <f t="shared" si="0"/>
        <v>161553451011022</v>
      </c>
    </row>
    <row r="33" spans="1:29" x14ac:dyDescent="0.2">
      <c r="A33">
        <v>32</v>
      </c>
      <c r="B33">
        <v>16</v>
      </c>
      <c r="C33">
        <v>1</v>
      </c>
      <c r="E33">
        <v>5</v>
      </c>
      <c r="F33">
        <v>223</v>
      </c>
      <c r="G33">
        <v>96</v>
      </c>
      <c r="I33">
        <v>2</v>
      </c>
      <c r="J33">
        <v>0</v>
      </c>
      <c r="K33">
        <v>1</v>
      </c>
      <c r="L33">
        <v>102</v>
      </c>
      <c r="M33" s="7">
        <v>2</v>
      </c>
      <c r="T33" s="16">
        <f>VLOOKUP(B33,Deployment!$A$1:$H$500,4,FALSE)</f>
        <v>39457.513888888891</v>
      </c>
      <c r="U33" s="17" t="str">
        <f>CONCATENATE(VLOOKUP(VLOOKUP(B33,Deployment!$A$1:$H$500,2,FALSE),Logger!$A$1:$F$500,3,FALSE),"/",VLOOKUP(VLOOKUP(B33,Deployment!$A$1:$H$500,2,FALSE),Logger!$A$1:$F$500,4,FALSE),"/",VLOOKUP(VLOOKUP(B33,Deployment!$A$1:$H$500,2,FALSE),Logger!$A$1:$F$500,5,FALSE))</f>
        <v>Solinst/LevelLogger Gold/1027936</v>
      </c>
      <c r="V33" s="17" t="str">
        <f>VLOOKUP(C33,Sites!$A$4:$B$501,2,FALSE)</f>
        <v>WCC000</v>
      </c>
      <c r="W33" s="17" t="str">
        <f>CONCATENATE(VLOOKUP(E33,Sensors!$A$1:$G$500,4,FALSE),"/",VLOOKUP(E33,Sensors!$A$1:$G$500,5,FALSE),"/",VLOOKUP(E33,Sensors!$A$1:$G$500,6,FALSE))</f>
        <v>Solinst/LevelLogger Gold/1027936</v>
      </c>
      <c r="X33" s="17" t="str">
        <f>VLOOKUP(F33,Variables!$A$2:$E$500, 2, FALSE)</f>
        <v>Temperature</v>
      </c>
      <c r="Y33" s="17" t="str">
        <f>VLOOKUP(G33,UnitsCV!$A$1:$D$500,4,FALSE)</f>
        <v>degC</v>
      </c>
      <c r="Z33" s="17" t="str">
        <f>VLOOKUP(K33,DataTypeCV!$A$1:$C$500,2,FALSE)</f>
        <v>Average</v>
      </c>
      <c r="AA33" s="17" t="str">
        <f>VLOOKUP(L33,UnitsCV!$A$1:$D$500,4,FALSE)</f>
        <v>min</v>
      </c>
      <c r="AC33" s="16" t="str">
        <f t="shared" si="0"/>
        <v>1615223962011022</v>
      </c>
    </row>
    <row r="34" spans="1:29" x14ac:dyDescent="0.2">
      <c r="A34">
        <v>33</v>
      </c>
      <c r="B34">
        <v>17</v>
      </c>
      <c r="C34">
        <v>1</v>
      </c>
      <c r="E34">
        <v>5</v>
      </c>
      <c r="F34">
        <v>5</v>
      </c>
      <c r="G34">
        <v>345</v>
      </c>
      <c r="I34">
        <v>1</v>
      </c>
      <c r="J34">
        <v>0</v>
      </c>
      <c r="K34">
        <v>1</v>
      </c>
      <c r="L34">
        <v>102</v>
      </c>
      <c r="M34" s="7">
        <v>2</v>
      </c>
      <c r="T34" s="16">
        <f>VLOOKUP(B34,Deployment!$A$1:$H$500,4,FALSE)</f>
        <v>39531.635416666664</v>
      </c>
      <c r="U34" s="17" t="str">
        <f>CONCATENATE(VLOOKUP(VLOOKUP(B34,Deployment!$A$1:$H$500,2,FALSE),Logger!$A$1:$F$500,3,FALSE),"/",VLOOKUP(VLOOKUP(B34,Deployment!$A$1:$H$500,2,FALSE),Logger!$A$1:$F$500,4,FALSE),"/",VLOOKUP(VLOOKUP(B34,Deployment!$A$1:$H$500,2,FALSE),Logger!$A$1:$F$500,5,FALSE))</f>
        <v>Solinst/LevelLogger Gold/1027936</v>
      </c>
      <c r="V34" s="17" t="str">
        <f>VLOOKUP(C34,Sites!$A$4:$B$501,2,FALSE)</f>
        <v>WCC000</v>
      </c>
      <c r="W34" s="17" t="str">
        <f>CONCATENATE(VLOOKUP(E34,Sensors!$A$1:$G$500,4,FALSE),"/",VLOOKUP(E34,Sensors!$A$1:$G$500,5,FALSE),"/",VLOOKUP(E34,Sensors!$A$1:$G$500,6,FALSE))</f>
        <v>Solinst/LevelLogger Gold/1027936</v>
      </c>
      <c r="X34" s="17" t="str">
        <f>VLOOKUP(F34,Variables!$A$2:$E$500, 2, FALSE)</f>
        <v>Absolute Pressure</v>
      </c>
      <c r="Y34" s="17" t="str">
        <f>VLOOKUP(G34,UnitsCV!$A$1:$D$500,4,FALSE)</f>
        <v>m H2O</v>
      </c>
      <c r="Z34" s="17" t="str">
        <f>VLOOKUP(K34,DataTypeCV!$A$1:$C$500,2,FALSE)</f>
        <v>Average</v>
      </c>
      <c r="AA34" s="17" t="str">
        <f>VLOOKUP(L34,UnitsCV!$A$1:$D$500,4,FALSE)</f>
        <v>min</v>
      </c>
      <c r="AC34" s="16" t="str">
        <f t="shared" ref="AC34:AC65" si="1">CONCATENATE(B34,C34,E34,F34,G34,I34,J34,K34,L34,M34,N34,O34,P34,Q34,R34)</f>
        <v>171553451011022</v>
      </c>
    </row>
    <row r="35" spans="1:29" x14ac:dyDescent="0.2">
      <c r="A35">
        <v>34</v>
      </c>
      <c r="B35">
        <v>17</v>
      </c>
      <c r="C35">
        <v>1</v>
      </c>
      <c r="E35">
        <v>5</v>
      </c>
      <c r="F35">
        <v>223</v>
      </c>
      <c r="G35">
        <v>96</v>
      </c>
      <c r="I35">
        <v>2</v>
      </c>
      <c r="J35">
        <v>0</v>
      </c>
      <c r="K35">
        <v>1</v>
      </c>
      <c r="L35">
        <v>102</v>
      </c>
      <c r="M35" s="7">
        <v>2</v>
      </c>
      <c r="T35" s="16">
        <f>VLOOKUP(B35,Deployment!$A$1:$H$500,4,FALSE)</f>
        <v>39531.635416666664</v>
      </c>
      <c r="U35" s="17" t="str">
        <f>CONCATENATE(VLOOKUP(VLOOKUP(B35,Deployment!$A$1:$H$500,2,FALSE),Logger!$A$1:$F$500,3,FALSE),"/",VLOOKUP(VLOOKUP(B35,Deployment!$A$1:$H$500,2,FALSE),Logger!$A$1:$F$500,4,FALSE),"/",VLOOKUP(VLOOKUP(B35,Deployment!$A$1:$H$500,2,FALSE),Logger!$A$1:$F$500,5,FALSE))</f>
        <v>Solinst/LevelLogger Gold/1027936</v>
      </c>
      <c r="V35" s="17" t="str">
        <f>VLOOKUP(C35,Sites!$A$4:$B$501,2,FALSE)</f>
        <v>WCC000</v>
      </c>
      <c r="W35" s="17" t="str">
        <f>CONCATENATE(VLOOKUP(E35,Sensors!$A$1:$G$500,4,FALSE),"/",VLOOKUP(E35,Sensors!$A$1:$G$500,5,FALSE),"/",VLOOKUP(E35,Sensors!$A$1:$G$500,6,FALSE))</f>
        <v>Solinst/LevelLogger Gold/1027936</v>
      </c>
      <c r="X35" s="17" t="str">
        <f>VLOOKUP(F35,Variables!$A$2:$E$500, 2, FALSE)</f>
        <v>Temperature</v>
      </c>
      <c r="Y35" s="17" t="str">
        <f>VLOOKUP(G35,UnitsCV!$A$1:$D$500,4,FALSE)</f>
        <v>degC</v>
      </c>
      <c r="Z35" s="17" t="str">
        <f>VLOOKUP(K35,DataTypeCV!$A$1:$C$500,2,FALSE)</f>
        <v>Average</v>
      </c>
      <c r="AA35" s="17" t="str">
        <f>VLOOKUP(L35,UnitsCV!$A$1:$D$500,4,FALSE)</f>
        <v>min</v>
      </c>
      <c r="AC35" s="16" t="str">
        <f t="shared" si="1"/>
        <v>1715223962011022</v>
      </c>
    </row>
    <row r="36" spans="1:29" x14ac:dyDescent="0.2">
      <c r="A36">
        <v>35</v>
      </c>
      <c r="B36">
        <v>18</v>
      </c>
      <c r="C36">
        <v>1</v>
      </c>
      <c r="E36">
        <v>5</v>
      </c>
      <c r="F36">
        <v>5</v>
      </c>
      <c r="G36">
        <v>345</v>
      </c>
      <c r="I36">
        <v>1</v>
      </c>
      <c r="J36">
        <v>0</v>
      </c>
      <c r="K36">
        <v>1</v>
      </c>
      <c r="L36">
        <v>102</v>
      </c>
      <c r="M36" s="7">
        <v>2</v>
      </c>
      <c r="T36" s="16">
        <f>VLOOKUP(B36,Deployment!$A$1:$H$500,4,FALSE)</f>
        <v>39773.545138888891</v>
      </c>
      <c r="U36" s="17" t="str">
        <f>CONCATENATE(VLOOKUP(VLOOKUP(B36,Deployment!$A$1:$H$500,2,FALSE),Logger!$A$1:$F$500,3,FALSE),"/",VLOOKUP(VLOOKUP(B36,Deployment!$A$1:$H$500,2,FALSE),Logger!$A$1:$F$500,4,FALSE),"/",VLOOKUP(VLOOKUP(B36,Deployment!$A$1:$H$500,2,FALSE),Logger!$A$1:$F$500,5,FALSE))</f>
        <v>Solinst/LevelLogger Gold/1027936</v>
      </c>
      <c r="V36" s="17" t="str">
        <f>VLOOKUP(C36,Sites!$A$4:$B$501,2,FALSE)</f>
        <v>WCC000</v>
      </c>
      <c r="W36" s="17" t="str">
        <f>CONCATENATE(VLOOKUP(E36,Sensors!$A$1:$G$500,4,FALSE),"/",VLOOKUP(E36,Sensors!$A$1:$G$500,5,FALSE),"/",VLOOKUP(E36,Sensors!$A$1:$G$500,6,FALSE))</f>
        <v>Solinst/LevelLogger Gold/1027936</v>
      </c>
      <c r="X36" s="17" t="str">
        <f>VLOOKUP(F36,Variables!$A$2:$E$500, 2, FALSE)</f>
        <v>Absolute Pressure</v>
      </c>
      <c r="Y36" s="17" t="str">
        <f>VLOOKUP(G36,UnitsCV!$A$1:$D$500,4,FALSE)</f>
        <v>m H2O</v>
      </c>
      <c r="Z36" s="17" t="str">
        <f>VLOOKUP(K36,DataTypeCV!$A$1:$C$500,2,FALSE)</f>
        <v>Average</v>
      </c>
      <c r="AA36" s="17" t="str">
        <f>VLOOKUP(L36,UnitsCV!$A$1:$D$500,4,FALSE)</f>
        <v>min</v>
      </c>
      <c r="AC36" s="16" t="str">
        <f t="shared" si="1"/>
        <v>181553451011022</v>
      </c>
    </row>
    <row r="37" spans="1:29" x14ac:dyDescent="0.2">
      <c r="A37">
        <v>36</v>
      </c>
      <c r="B37">
        <v>18</v>
      </c>
      <c r="C37">
        <v>1</v>
      </c>
      <c r="E37">
        <v>5</v>
      </c>
      <c r="F37">
        <v>223</v>
      </c>
      <c r="G37">
        <v>96</v>
      </c>
      <c r="I37">
        <v>2</v>
      </c>
      <c r="J37">
        <v>0</v>
      </c>
      <c r="K37">
        <v>1</v>
      </c>
      <c r="L37">
        <v>102</v>
      </c>
      <c r="M37" s="7">
        <v>2</v>
      </c>
      <c r="T37" s="16">
        <f>VLOOKUP(B37,Deployment!$A$1:$H$500,4,FALSE)</f>
        <v>39773.545138888891</v>
      </c>
      <c r="U37" s="17" t="str">
        <f>CONCATENATE(VLOOKUP(VLOOKUP(B37,Deployment!$A$1:$H$500,2,FALSE),Logger!$A$1:$F$500,3,FALSE),"/",VLOOKUP(VLOOKUP(B37,Deployment!$A$1:$H$500,2,FALSE),Logger!$A$1:$F$500,4,FALSE),"/",VLOOKUP(VLOOKUP(B37,Deployment!$A$1:$H$500,2,FALSE),Logger!$A$1:$F$500,5,FALSE))</f>
        <v>Solinst/LevelLogger Gold/1027936</v>
      </c>
      <c r="V37" s="17" t="str">
        <f>VLOOKUP(C37,Sites!$A$4:$B$501,2,FALSE)</f>
        <v>WCC000</v>
      </c>
      <c r="W37" s="17" t="str">
        <f>CONCATENATE(VLOOKUP(E37,Sensors!$A$1:$G$500,4,FALSE),"/",VLOOKUP(E37,Sensors!$A$1:$G$500,5,FALSE),"/",VLOOKUP(E37,Sensors!$A$1:$G$500,6,FALSE))</f>
        <v>Solinst/LevelLogger Gold/1027936</v>
      </c>
      <c r="X37" s="17" t="str">
        <f>VLOOKUP(F37,Variables!$A$2:$E$500, 2, FALSE)</f>
        <v>Temperature</v>
      </c>
      <c r="Y37" s="17" t="str">
        <f>VLOOKUP(G37,UnitsCV!$A$1:$D$500,4,FALSE)</f>
        <v>degC</v>
      </c>
      <c r="Z37" s="17" t="str">
        <f>VLOOKUP(K37,DataTypeCV!$A$1:$C$500,2,FALSE)</f>
        <v>Average</v>
      </c>
      <c r="AA37" s="17" t="str">
        <f>VLOOKUP(L37,UnitsCV!$A$1:$D$500,4,FALSE)</f>
        <v>min</v>
      </c>
      <c r="AC37" s="16" t="str">
        <f t="shared" si="1"/>
        <v>1815223962011022</v>
      </c>
    </row>
    <row r="38" spans="1:29" x14ac:dyDescent="0.2">
      <c r="A38">
        <v>37</v>
      </c>
      <c r="B38">
        <v>19</v>
      </c>
      <c r="C38">
        <v>1</v>
      </c>
      <c r="E38">
        <v>5</v>
      </c>
      <c r="F38">
        <v>5</v>
      </c>
      <c r="G38">
        <v>345</v>
      </c>
      <c r="I38">
        <v>1</v>
      </c>
      <c r="J38">
        <v>0</v>
      </c>
      <c r="K38">
        <v>1</v>
      </c>
      <c r="L38">
        <v>102</v>
      </c>
      <c r="M38" s="7">
        <v>2</v>
      </c>
      <c r="T38" s="16">
        <f>VLOOKUP(B38,Deployment!$A$1:$H$500,4,FALSE)</f>
        <v>39888.552083333336</v>
      </c>
      <c r="U38" s="17" t="str">
        <f>CONCATENATE(VLOOKUP(VLOOKUP(B38,Deployment!$A$1:$H$500,2,FALSE),Logger!$A$1:$F$500,3,FALSE),"/",VLOOKUP(VLOOKUP(B38,Deployment!$A$1:$H$500,2,FALSE),Logger!$A$1:$F$500,4,FALSE),"/",VLOOKUP(VLOOKUP(B38,Deployment!$A$1:$H$500,2,FALSE),Logger!$A$1:$F$500,5,FALSE))</f>
        <v>Solinst/LevelLogger Gold/1027936</v>
      </c>
      <c r="V38" s="17" t="str">
        <f>VLOOKUP(C38,Sites!$A$4:$B$501,2,FALSE)</f>
        <v>WCC000</v>
      </c>
      <c r="W38" s="17" t="str">
        <f>CONCATENATE(VLOOKUP(E38,Sensors!$A$1:$G$500,4,FALSE),"/",VLOOKUP(E38,Sensors!$A$1:$G$500,5,FALSE),"/",VLOOKUP(E38,Sensors!$A$1:$G$500,6,FALSE))</f>
        <v>Solinst/LevelLogger Gold/1027936</v>
      </c>
      <c r="X38" s="17" t="str">
        <f>VLOOKUP(F38,Variables!$A$2:$E$500, 2, FALSE)</f>
        <v>Absolute Pressure</v>
      </c>
      <c r="Y38" s="17" t="str">
        <f>VLOOKUP(G38,UnitsCV!$A$1:$D$500,4,FALSE)</f>
        <v>m H2O</v>
      </c>
      <c r="Z38" s="17" t="str">
        <f>VLOOKUP(K38,DataTypeCV!$A$1:$C$500,2,FALSE)</f>
        <v>Average</v>
      </c>
      <c r="AA38" s="17" t="str">
        <f>VLOOKUP(L38,UnitsCV!$A$1:$D$500,4,FALSE)</f>
        <v>min</v>
      </c>
      <c r="AC38" s="16" t="str">
        <f t="shared" si="1"/>
        <v>191553451011022</v>
      </c>
    </row>
    <row r="39" spans="1:29" x14ac:dyDescent="0.2">
      <c r="A39">
        <v>38</v>
      </c>
      <c r="B39">
        <v>19</v>
      </c>
      <c r="C39">
        <v>1</v>
      </c>
      <c r="E39">
        <v>5</v>
      </c>
      <c r="F39">
        <v>223</v>
      </c>
      <c r="G39">
        <v>96</v>
      </c>
      <c r="I39">
        <v>2</v>
      </c>
      <c r="J39">
        <v>0</v>
      </c>
      <c r="K39">
        <v>1</v>
      </c>
      <c r="L39">
        <v>102</v>
      </c>
      <c r="M39" s="7">
        <v>2</v>
      </c>
      <c r="T39" s="16">
        <f>VLOOKUP(B39,Deployment!$A$1:$H$500,4,FALSE)</f>
        <v>39888.552083333336</v>
      </c>
      <c r="U39" s="17" t="str">
        <f>CONCATENATE(VLOOKUP(VLOOKUP(B39,Deployment!$A$1:$H$500,2,FALSE),Logger!$A$1:$F$500,3,FALSE),"/",VLOOKUP(VLOOKUP(B39,Deployment!$A$1:$H$500,2,FALSE),Logger!$A$1:$F$500,4,FALSE),"/",VLOOKUP(VLOOKUP(B39,Deployment!$A$1:$H$500,2,FALSE),Logger!$A$1:$F$500,5,FALSE))</f>
        <v>Solinst/LevelLogger Gold/1027936</v>
      </c>
      <c r="V39" s="17" t="str">
        <f>VLOOKUP(C39,Sites!$A$4:$B$501,2,FALSE)</f>
        <v>WCC000</v>
      </c>
      <c r="W39" s="17" t="str">
        <f>CONCATENATE(VLOOKUP(E39,Sensors!$A$1:$G$500,4,FALSE),"/",VLOOKUP(E39,Sensors!$A$1:$G$500,5,FALSE),"/",VLOOKUP(E39,Sensors!$A$1:$G$500,6,FALSE))</f>
        <v>Solinst/LevelLogger Gold/1027936</v>
      </c>
      <c r="X39" s="17" t="str">
        <f>VLOOKUP(F39,Variables!$A$2:$E$500, 2, FALSE)</f>
        <v>Temperature</v>
      </c>
      <c r="Y39" s="17" t="str">
        <f>VLOOKUP(G39,UnitsCV!$A$1:$D$500,4,FALSE)</f>
        <v>degC</v>
      </c>
      <c r="Z39" s="17" t="str">
        <f>VLOOKUP(K39,DataTypeCV!$A$1:$C$500,2,FALSE)</f>
        <v>Average</v>
      </c>
      <c r="AA39" s="17" t="str">
        <f>VLOOKUP(L39,UnitsCV!$A$1:$D$500,4,FALSE)</f>
        <v>min</v>
      </c>
      <c r="AC39" s="16" t="str">
        <f t="shared" si="1"/>
        <v>1915223962011022</v>
      </c>
    </row>
    <row r="40" spans="1:29" x14ac:dyDescent="0.2">
      <c r="A40">
        <v>39</v>
      </c>
      <c r="B40">
        <v>20</v>
      </c>
      <c r="C40">
        <v>1</v>
      </c>
      <c r="E40">
        <v>5</v>
      </c>
      <c r="F40">
        <v>5</v>
      </c>
      <c r="G40">
        <v>345</v>
      </c>
      <c r="I40">
        <v>1</v>
      </c>
      <c r="J40">
        <v>0</v>
      </c>
      <c r="K40">
        <v>1</v>
      </c>
      <c r="L40">
        <v>102</v>
      </c>
      <c r="M40" s="7">
        <v>2</v>
      </c>
      <c r="T40" s="16">
        <f>VLOOKUP(B40,Deployment!$A$1:$H$500,4,FALSE)</f>
        <v>39910.59375</v>
      </c>
      <c r="U40" s="17" t="str">
        <f>CONCATENATE(VLOOKUP(VLOOKUP(B40,Deployment!$A$1:$H$500,2,FALSE),Logger!$A$1:$F$500,3,FALSE),"/",VLOOKUP(VLOOKUP(B40,Deployment!$A$1:$H$500,2,FALSE),Logger!$A$1:$F$500,4,FALSE),"/",VLOOKUP(VLOOKUP(B40,Deployment!$A$1:$H$500,2,FALSE),Logger!$A$1:$F$500,5,FALSE))</f>
        <v>Solinst/LevelLogger Gold/1027936</v>
      </c>
      <c r="V40" s="17" t="str">
        <f>VLOOKUP(C40,Sites!$A$4:$B$501,2,FALSE)</f>
        <v>WCC000</v>
      </c>
      <c r="W40" s="17" t="str">
        <f>CONCATENATE(VLOOKUP(E40,Sensors!$A$1:$G$500,4,FALSE),"/",VLOOKUP(E40,Sensors!$A$1:$G$500,5,FALSE),"/",VLOOKUP(E40,Sensors!$A$1:$G$500,6,FALSE))</f>
        <v>Solinst/LevelLogger Gold/1027936</v>
      </c>
      <c r="X40" s="17" t="str">
        <f>VLOOKUP(F40,Variables!$A$2:$E$500, 2, FALSE)</f>
        <v>Absolute Pressure</v>
      </c>
      <c r="Y40" s="17" t="str">
        <f>VLOOKUP(G40,UnitsCV!$A$1:$D$500,4,FALSE)</f>
        <v>m H2O</v>
      </c>
      <c r="Z40" s="17" t="str">
        <f>VLOOKUP(K40,DataTypeCV!$A$1:$C$500,2,FALSE)</f>
        <v>Average</v>
      </c>
      <c r="AA40" s="17" t="str">
        <f>VLOOKUP(L40,UnitsCV!$A$1:$D$500,4,FALSE)</f>
        <v>min</v>
      </c>
      <c r="AC40" s="16" t="str">
        <f t="shared" si="1"/>
        <v>201553451011022</v>
      </c>
    </row>
    <row r="41" spans="1:29" x14ac:dyDescent="0.2">
      <c r="A41">
        <v>40</v>
      </c>
      <c r="B41">
        <v>20</v>
      </c>
      <c r="C41">
        <v>1</v>
      </c>
      <c r="E41">
        <v>5</v>
      </c>
      <c r="F41">
        <v>223</v>
      </c>
      <c r="G41">
        <v>96</v>
      </c>
      <c r="I41">
        <v>2</v>
      </c>
      <c r="J41">
        <v>0</v>
      </c>
      <c r="K41">
        <v>1</v>
      </c>
      <c r="L41">
        <v>102</v>
      </c>
      <c r="M41" s="7">
        <v>2</v>
      </c>
      <c r="T41" s="16">
        <f>VLOOKUP(B41,Deployment!$A$1:$H$500,4,FALSE)</f>
        <v>39910.59375</v>
      </c>
      <c r="U41" s="17" t="str">
        <f>CONCATENATE(VLOOKUP(VLOOKUP(B41,Deployment!$A$1:$H$500,2,FALSE),Logger!$A$1:$F$500,3,FALSE),"/",VLOOKUP(VLOOKUP(B41,Deployment!$A$1:$H$500,2,FALSE),Logger!$A$1:$F$500,4,FALSE),"/",VLOOKUP(VLOOKUP(B41,Deployment!$A$1:$H$500,2,FALSE),Logger!$A$1:$F$500,5,FALSE))</f>
        <v>Solinst/LevelLogger Gold/1027936</v>
      </c>
      <c r="V41" s="17" t="str">
        <f>VLOOKUP(C41,Sites!$A$4:$B$501,2,FALSE)</f>
        <v>WCC000</v>
      </c>
      <c r="W41" s="17" t="str">
        <f>CONCATENATE(VLOOKUP(E41,Sensors!$A$1:$G$500,4,FALSE),"/",VLOOKUP(E41,Sensors!$A$1:$G$500,5,FALSE),"/",VLOOKUP(E41,Sensors!$A$1:$G$500,6,FALSE))</f>
        <v>Solinst/LevelLogger Gold/1027936</v>
      </c>
      <c r="X41" s="17" t="str">
        <f>VLOOKUP(F41,Variables!$A$2:$E$500, 2, FALSE)</f>
        <v>Temperature</v>
      </c>
      <c r="Y41" s="17" t="str">
        <f>VLOOKUP(G41,UnitsCV!$A$1:$D$500,4,FALSE)</f>
        <v>degC</v>
      </c>
      <c r="Z41" s="17" t="str">
        <f>VLOOKUP(K41,DataTypeCV!$A$1:$C$500,2,FALSE)</f>
        <v>Average</v>
      </c>
      <c r="AA41" s="17" t="str">
        <f>VLOOKUP(L41,UnitsCV!$A$1:$D$500,4,FALSE)</f>
        <v>min</v>
      </c>
      <c r="AC41" s="16" t="str">
        <f t="shared" si="1"/>
        <v>2015223962011022</v>
      </c>
    </row>
    <row r="42" spans="1:29" x14ac:dyDescent="0.2">
      <c r="A42">
        <v>41</v>
      </c>
      <c r="B42">
        <v>21</v>
      </c>
      <c r="C42">
        <v>1</v>
      </c>
      <c r="E42">
        <v>5</v>
      </c>
      <c r="F42">
        <v>5</v>
      </c>
      <c r="G42">
        <v>345</v>
      </c>
      <c r="I42">
        <v>1</v>
      </c>
      <c r="J42">
        <v>0</v>
      </c>
      <c r="K42">
        <v>1</v>
      </c>
      <c r="L42">
        <v>102</v>
      </c>
      <c r="M42" s="7">
        <v>2</v>
      </c>
      <c r="T42" s="16">
        <f>VLOOKUP(B42,Deployment!$A$1:$H$500,4,FALSE)</f>
        <v>40232.53125</v>
      </c>
      <c r="U42" s="17" t="str">
        <f>CONCATENATE(VLOOKUP(VLOOKUP(B42,Deployment!$A$1:$H$500,2,FALSE),Logger!$A$1:$F$500,3,FALSE),"/",VLOOKUP(VLOOKUP(B42,Deployment!$A$1:$H$500,2,FALSE),Logger!$A$1:$F$500,4,FALSE),"/",VLOOKUP(VLOOKUP(B42,Deployment!$A$1:$H$500,2,FALSE),Logger!$A$1:$F$500,5,FALSE))</f>
        <v>Solinst/LevelLogger Gold/1027936</v>
      </c>
      <c r="V42" s="17" t="str">
        <f>VLOOKUP(C42,Sites!$A$4:$B$501,2,FALSE)</f>
        <v>WCC000</v>
      </c>
      <c r="W42" s="17" t="str">
        <f>CONCATENATE(VLOOKUP(E42,Sensors!$A$1:$G$500,4,FALSE),"/",VLOOKUP(E42,Sensors!$A$1:$G$500,5,FALSE),"/",VLOOKUP(E42,Sensors!$A$1:$G$500,6,FALSE))</f>
        <v>Solinst/LevelLogger Gold/1027936</v>
      </c>
      <c r="X42" s="17" t="str">
        <f>VLOOKUP(F42,Variables!$A$2:$E$500, 2, FALSE)</f>
        <v>Absolute Pressure</v>
      </c>
      <c r="Y42" s="17" t="str">
        <f>VLOOKUP(G42,UnitsCV!$A$1:$D$500,4,FALSE)</f>
        <v>m H2O</v>
      </c>
      <c r="Z42" s="17" t="str">
        <f>VLOOKUP(K42,DataTypeCV!$A$1:$C$500,2,FALSE)</f>
        <v>Average</v>
      </c>
      <c r="AA42" s="17" t="str">
        <f>VLOOKUP(L42,UnitsCV!$A$1:$D$500,4,FALSE)</f>
        <v>min</v>
      </c>
      <c r="AC42" s="16" t="str">
        <f t="shared" si="1"/>
        <v>211553451011022</v>
      </c>
    </row>
    <row r="43" spans="1:29" x14ac:dyDescent="0.2">
      <c r="A43">
        <v>42</v>
      </c>
      <c r="B43">
        <v>21</v>
      </c>
      <c r="C43">
        <v>1</v>
      </c>
      <c r="E43">
        <v>5</v>
      </c>
      <c r="F43">
        <v>223</v>
      </c>
      <c r="G43">
        <v>96</v>
      </c>
      <c r="I43">
        <v>2</v>
      </c>
      <c r="J43">
        <v>0</v>
      </c>
      <c r="K43">
        <v>1</v>
      </c>
      <c r="L43">
        <v>102</v>
      </c>
      <c r="M43" s="7">
        <v>2</v>
      </c>
      <c r="T43" s="16">
        <f>VLOOKUP(B43,Deployment!$A$1:$H$500,4,FALSE)</f>
        <v>40232.53125</v>
      </c>
      <c r="U43" s="17" t="str">
        <f>CONCATENATE(VLOOKUP(VLOOKUP(B43,Deployment!$A$1:$H$500,2,FALSE),Logger!$A$1:$F$500,3,FALSE),"/",VLOOKUP(VLOOKUP(B43,Deployment!$A$1:$H$500,2,FALSE),Logger!$A$1:$F$500,4,FALSE),"/",VLOOKUP(VLOOKUP(B43,Deployment!$A$1:$H$500,2,FALSE),Logger!$A$1:$F$500,5,FALSE))</f>
        <v>Solinst/LevelLogger Gold/1027936</v>
      </c>
      <c r="V43" s="17" t="str">
        <f>VLOOKUP(C43,Sites!$A$4:$B$501,2,FALSE)</f>
        <v>WCC000</v>
      </c>
      <c r="W43" s="17" t="str">
        <f>CONCATENATE(VLOOKUP(E43,Sensors!$A$1:$G$500,4,FALSE),"/",VLOOKUP(E43,Sensors!$A$1:$G$500,5,FALSE),"/",VLOOKUP(E43,Sensors!$A$1:$G$500,6,FALSE))</f>
        <v>Solinst/LevelLogger Gold/1027936</v>
      </c>
      <c r="X43" s="17" t="str">
        <f>VLOOKUP(F43,Variables!$A$2:$E$500, 2, FALSE)</f>
        <v>Temperature</v>
      </c>
      <c r="Y43" s="17" t="str">
        <f>VLOOKUP(G43,UnitsCV!$A$1:$D$500,4,FALSE)</f>
        <v>degC</v>
      </c>
      <c r="Z43" s="17" t="str">
        <f>VLOOKUP(K43,DataTypeCV!$A$1:$C$500,2,FALSE)</f>
        <v>Average</v>
      </c>
      <c r="AA43" s="17" t="str">
        <f>VLOOKUP(L43,UnitsCV!$A$1:$D$500,4,FALSE)</f>
        <v>min</v>
      </c>
      <c r="AC43" s="16" t="str">
        <f t="shared" si="1"/>
        <v>2115223962011022</v>
      </c>
    </row>
    <row r="44" spans="1:29" x14ac:dyDescent="0.2">
      <c r="A44">
        <v>43</v>
      </c>
      <c r="B44">
        <v>22</v>
      </c>
      <c r="C44">
        <v>1</v>
      </c>
      <c r="E44">
        <v>5</v>
      </c>
      <c r="F44">
        <v>5</v>
      </c>
      <c r="G44">
        <v>345</v>
      </c>
      <c r="I44">
        <v>1</v>
      </c>
      <c r="J44">
        <v>0</v>
      </c>
      <c r="K44">
        <v>1</v>
      </c>
      <c r="L44">
        <v>102</v>
      </c>
      <c r="M44" s="7">
        <v>2</v>
      </c>
      <c r="T44" s="16">
        <f>VLOOKUP(B44,Deployment!$A$1:$H$500,4,FALSE)</f>
        <v>40597.569444444445</v>
      </c>
      <c r="U44" s="17" t="str">
        <f>CONCATENATE(VLOOKUP(VLOOKUP(B44,Deployment!$A$1:$H$500,2,FALSE),Logger!$A$1:$F$500,3,FALSE),"/",VLOOKUP(VLOOKUP(B44,Deployment!$A$1:$H$500,2,FALSE),Logger!$A$1:$F$500,4,FALSE),"/",VLOOKUP(VLOOKUP(B44,Deployment!$A$1:$H$500,2,FALSE),Logger!$A$1:$F$500,5,FALSE))</f>
        <v>Solinst/LevelLogger Gold/1027936</v>
      </c>
      <c r="V44" s="17" t="str">
        <f>VLOOKUP(C44,Sites!$A$4:$B$501,2,FALSE)</f>
        <v>WCC000</v>
      </c>
      <c r="W44" s="17" t="str">
        <f>CONCATENATE(VLOOKUP(E44,Sensors!$A$1:$G$500,4,FALSE),"/",VLOOKUP(E44,Sensors!$A$1:$G$500,5,FALSE),"/",VLOOKUP(E44,Sensors!$A$1:$G$500,6,FALSE))</f>
        <v>Solinst/LevelLogger Gold/1027936</v>
      </c>
      <c r="X44" s="17" t="str">
        <f>VLOOKUP(F44,Variables!$A$2:$E$500, 2, FALSE)</f>
        <v>Absolute Pressure</v>
      </c>
      <c r="Y44" s="17" t="str">
        <f>VLOOKUP(G44,UnitsCV!$A$1:$D$500,4,FALSE)</f>
        <v>m H2O</v>
      </c>
      <c r="Z44" s="17" t="str">
        <f>VLOOKUP(K44,DataTypeCV!$A$1:$C$500,2,FALSE)</f>
        <v>Average</v>
      </c>
      <c r="AA44" s="17" t="str">
        <f>VLOOKUP(L44,UnitsCV!$A$1:$D$500,4,FALSE)</f>
        <v>min</v>
      </c>
      <c r="AC44" s="16" t="str">
        <f t="shared" si="1"/>
        <v>221553451011022</v>
      </c>
    </row>
    <row r="45" spans="1:29" x14ac:dyDescent="0.2">
      <c r="A45">
        <v>44</v>
      </c>
      <c r="B45">
        <v>22</v>
      </c>
      <c r="C45">
        <v>1</v>
      </c>
      <c r="E45">
        <v>5</v>
      </c>
      <c r="F45">
        <v>223</v>
      </c>
      <c r="G45">
        <v>96</v>
      </c>
      <c r="I45">
        <v>2</v>
      </c>
      <c r="J45">
        <v>0</v>
      </c>
      <c r="K45">
        <v>1</v>
      </c>
      <c r="L45">
        <v>102</v>
      </c>
      <c r="M45" s="7">
        <v>2</v>
      </c>
      <c r="T45" s="16">
        <f>VLOOKUP(B45,Deployment!$A$1:$H$500,4,FALSE)</f>
        <v>40597.569444444445</v>
      </c>
      <c r="U45" s="17" t="str">
        <f>CONCATENATE(VLOOKUP(VLOOKUP(B45,Deployment!$A$1:$H$500,2,FALSE),Logger!$A$1:$F$500,3,FALSE),"/",VLOOKUP(VLOOKUP(B45,Deployment!$A$1:$H$500,2,FALSE),Logger!$A$1:$F$500,4,FALSE),"/",VLOOKUP(VLOOKUP(B45,Deployment!$A$1:$H$500,2,FALSE),Logger!$A$1:$F$500,5,FALSE))</f>
        <v>Solinst/LevelLogger Gold/1027936</v>
      </c>
      <c r="V45" s="17" t="str">
        <f>VLOOKUP(C45,Sites!$A$4:$B$501,2,FALSE)</f>
        <v>WCC000</v>
      </c>
      <c r="W45" s="17" t="str">
        <f>CONCATENATE(VLOOKUP(E45,Sensors!$A$1:$G$500,4,FALSE),"/",VLOOKUP(E45,Sensors!$A$1:$G$500,5,FALSE),"/",VLOOKUP(E45,Sensors!$A$1:$G$500,6,FALSE))</f>
        <v>Solinst/LevelLogger Gold/1027936</v>
      </c>
      <c r="X45" s="17" t="str">
        <f>VLOOKUP(F45,Variables!$A$2:$E$500, 2, FALSE)</f>
        <v>Temperature</v>
      </c>
      <c r="Y45" s="17" t="str">
        <f>VLOOKUP(G45,UnitsCV!$A$1:$D$500,4,FALSE)</f>
        <v>degC</v>
      </c>
      <c r="Z45" s="17" t="str">
        <f>VLOOKUP(K45,DataTypeCV!$A$1:$C$500,2,FALSE)</f>
        <v>Average</v>
      </c>
      <c r="AA45" s="17" t="str">
        <f>VLOOKUP(L45,UnitsCV!$A$1:$D$500,4,FALSE)</f>
        <v>min</v>
      </c>
      <c r="AC45" s="16" t="str">
        <f t="shared" si="1"/>
        <v>2215223962011022</v>
      </c>
    </row>
    <row r="46" spans="1:29" x14ac:dyDescent="0.2">
      <c r="A46">
        <v>45</v>
      </c>
      <c r="B46">
        <v>23</v>
      </c>
      <c r="C46">
        <v>4</v>
      </c>
      <c r="E46">
        <v>6</v>
      </c>
      <c r="F46">
        <v>5</v>
      </c>
      <c r="G46">
        <v>345</v>
      </c>
      <c r="I46">
        <v>1</v>
      </c>
      <c r="J46">
        <v>0</v>
      </c>
      <c r="K46">
        <v>1</v>
      </c>
      <c r="L46">
        <v>102</v>
      </c>
      <c r="M46" s="7">
        <v>2</v>
      </c>
      <c r="T46" s="16">
        <f>VLOOKUP(B46,Deployment!$A$1:$H$500,4,FALSE)</f>
        <v>39916.625</v>
      </c>
      <c r="U46" s="17" t="str">
        <f>CONCATENATE(VLOOKUP(VLOOKUP(B46,Deployment!$A$1:$H$500,2,FALSE),Logger!$A$1:$F$500,3,FALSE),"/",VLOOKUP(VLOOKUP(B46,Deployment!$A$1:$H$500,2,FALSE),Logger!$A$1:$F$500,4,FALSE),"/",VLOOKUP(VLOOKUP(B46,Deployment!$A$1:$H$500,2,FALSE),Logger!$A$1:$F$500,5,FALSE))</f>
        <v>Solinst/LevelLogger Gold/1038069</v>
      </c>
      <c r="V46" s="17" t="str">
        <f>VLOOKUP(C46,Sites!$A$4:$B$501,2,FALSE)</f>
        <v>WCW367</v>
      </c>
      <c r="W46" s="17" t="str">
        <f>CONCATENATE(VLOOKUP(E46,Sensors!$A$1:$G$500,4,FALSE),"/",VLOOKUP(E46,Sensors!$A$1:$G$500,5,FALSE),"/",VLOOKUP(E46,Sensors!$A$1:$G$500,6,FALSE))</f>
        <v>Solinst/LevelLogger Gold/1038069</v>
      </c>
      <c r="X46" s="17" t="str">
        <f>VLOOKUP(F46,Variables!$A$2:$E$500, 2, FALSE)</f>
        <v>Absolute Pressure</v>
      </c>
      <c r="Y46" s="17" t="str">
        <f>VLOOKUP(G46,UnitsCV!$A$1:$D$500,4,FALSE)</f>
        <v>m H2O</v>
      </c>
      <c r="Z46" s="17" t="str">
        <f>VLOOKUP(K46,DataTypeCV!$A$1:$C$500,2,FALSE)</f>
        <v>Average</v>
      </c>
      <c r="AA46" s="17" t="str">
        <f>VLOOKUP(L46,UnitsCV!$A$1:$D$500,4,FALSE)</f>
        <v>min</v>
      </c>
      <c r="AC46" s="16" t="str">
        <f t="shared" si="1"/>
        <v>234653451011022</v>
      </c>
    </row>
    <row r="47" spans="1:29" x14ac:dyDescent="0.2">
      <c r="A47">
        <v>46</v>
      </c>
      <c r="B47">
        <v>23</v>
      </c>
      <c r="C47">
        <v>4</v>
      </c>
      <c r="E47">
        <v>6</v>
      </c>
      <c r="F47">
        <v>223</v>
      </c>
      <c r="G47">
        <v>96</v>
      </c>
      <c r="I47">
        <v>2</v>
      </c>
      <c r="J47">
        <v>0</v>
      </c>
      <c r="K47">
        <v>1</v>
      </c>
      <c r="L47">
        <v>102</v>
      </c>
      <c r="M47" s="7">
        <v>2</v>
      </c>
      <c r="T47" s="16">
        <f>VLOOKUP(B47,Deployment!$A$1:$H$500,4,FALSE)</f>
        <v>39916.625</v>
      </c>
      <c r="U47" s="17" t="str">
        <f>CONCATENATE(VLOOKUP(VLOOKUP(B47,Deployment!$A$1:$H$500,2,FALSE),Logger!$A$1:$F$500,3,FALSE),"/",VLOOKUP(VLOOKUP(B47,Deployment!$A$1:$H$500,2,FALSE),Logger!$A$1:$F$500,4,FALSE),"/",VLOOKUP(VLOOKUP(B47,Deployment!$A$1:$H$500,2,FALSE),Logger!$A$1:$F$500,5,FALSE))</f>
        <v>Solinst/LevelLogger Gold/1038069</v>
      </c>
      <c r="V47" s="17" t="str">
        <f>VLOOKUP(C47,Sites!$A$4:$B$501,2,FALSE)</f>
        <v>WCW367</v>
      </c>
      <c r="W47" s="17" t="str">
        <f>CONCATENATE(VLOOKUP(E47,Sensors!$A$1:$G$500,4,FALSE),"/",VLOOKUP(E47,Sensors!$A$1:$G$500,5,FALSE),"/",VLOOKUP(E47,Sensors!$A$1:$G$500,6,FALSE))</f>
        <v>Solinst/LevelLogger Gold/1038069</v>
      </c>
      <c r="X47" s="17" t="str">
        <f>VLOOKUP(F47,Variables!$A$2:$E$500, 2, FALSE)</f>
        <v>Temperature</v>
      </c>
      <c r="Y47" s="17" t="str">
        <f>VLOOKUP(G47,UnitsCV!$A$1:$D$500,4,FALSE)</f>
        <v>degC</v>
      </c>
      <c r="Z47" s="17" t="str">
        <f>VLOOKUP(K47,DataTypeCV!$A$1:$C$500,2,FALSE)</f>
        <v>Average</v>
      </c>
      <c r="AA47" s="17" t="str">
        <f>VLOOKUP(L47,UnitsCV!$A$1:$D$500,4,FALSE)</f>
        <v>min</v>
      </c>
      <c r="AC47" s="16" t="str">
        <f t="shared" si="1"/>
        <v>2346223962011022</v>
      </c>
    </row>
    <row r="48" spans="1:29" x14ac:dyDescent="0.2">
      <c r="A48">
        <v>47</v>
      </c>
      <c r="B48">
        <v>24</v>
      </c>
      <c r="C48">
        <v>4</v>
      </c>
      <c r="E48">
        <v>6</v>
      </c>
      <c r="F48">
        <v>5</v>
      </c>
      <c r="G48">
        <v>345</v>
      </c>
      <c r="I48">
        <v>1</v>
      </c>
      <c r="J48">
        <v>0</v>
      </c>
      <c r="K48">
        <v>1</v>
      </c>
      <c r="L48">
        <v>102</v>
      </c>
      <c r="M48" s="7">
        <v>2</v>
      </c>
      <c r="T48" s="16">
        <f>VLOOKUP(B48,Deployment!$A$1:$H$500,4,FALSE)</f>
        <v>40599.5625</v>
      </c>
      <c r="U48" s="17" t="str">
        <f>CONCATENATE(VLOOKUP(VLOOKUP(B48,Deployment!$A$1:$H$500,2,FALSE),Logger!$A$1:$F$500,3,FALSE),"/",VLOOKUP(VLOOKUP(B48,Deployment!$A$1:$H$500,2,FALSE),Logger!$A$1:$F$500,4,FALSE),"/",VLOOKUP(VLOOKUP(B48,Deployment!$A$1:$H$500,2,FALSE),Logger!$A$1:$F$500,5,FALSE))</f>
        <v>Solinst/LevelLogger Gold/1038069</v>
      </c>
      <c r="V48" s="17" t="str">
        <f>VLOOKUP(C48,Sites!$A$4:$B$501,2,FALSE)</f>
        <v>WCW367</v>
      </c>
      <c r="W48" s="17" t="str">
        <f>CONCATENATE(VLOOKUP(E48,Sensors!$A$1:$G$500,4,FALSE),"/",VLOOKUP(E48,Sensors!$A$1:$G$500,5,FALSE),"/",VLOOKUP(E48,Sensors!$A$1:$G$500,6,FALSE))</f>
        <v>Solinst/LevelLogger Gold/1038069</v>
      </c>
      <c r="X48" s="17" t="str">
        <f>VLOOKUP(F48,Variables!$A$2:$E$500, 2, FALSE)</f>
        <v>Absolute Pressure</v>
      </c>
      <c r="Y48" s="17" t="str">
        <f>VLOOKUP(G48,UnitsCV!$A$1:$D$500,4,FALSE)</f>
        <v>m H2O</v>
      </c>
      <c r="Z48" s="17" t="str">
        <f>VLOOKUP(K48,DataTypeCV!$A$1:$C$500,2,FALSE)</f>
        <v>Average</v>
      </c>
      <c r="AA48" s="17" t="str">
        <f>VLOOKUP(L48,UnitsCV!$A$1:$D$500,4,FALSE)</f>
        <v>min</v>
      </c>
      <c r="AC48" s="16" t="str">
        <f t="shared" si="1"/>
        <v>244653451011022</v>
      </c>
    </row>
    <row r="49" spans="1:29" x14ac:dyDescent="0.2">
      <c r="A49">
        <v>48</v>
      </c>
      <c r="B49">
        <v>24</v>
      </c>
      <c r="C49">
        <v>4</v>
      </c>
      <c r="E49">
        <v>6</v>
      </c>
      <c r="F49">
        <v>223</v>
      </c>
      <c r="G49">
        <v>96</v>
      </c>
      <c r="I49">
        <v>2</v>
      </c>
      <c r="J49">
        <v>0</v>
      </c>
      <c r="K49">
        <v>1</v>
      </c>
      <c r="L49">
        <v>102</v>
      </c>
      <c r="M49" s="7">
        <v>2</v>
      </c>
      <c r="T49" s="16">
        <f>VLOOKUP(B49,Deployment!$A$1:$H$500,4,FALSE)</f>
        <v>40599.5625</v>
      </c>
      <c r="U49" s="17" t="str">
        <f>CONCATENATE(VLOOKUP(VLOOKUP(B49,Deployment!$A$1:$H$500,2,FALSE),Logger!$A$1:$F$500,3,FALSE),"/",VLOOKUP(VLOOKUP(B49,Deployment!$A$1:$H$500,2,FALSE),Logger!$A$1:$F$500,4,FALSE),"/",VLOOKUP(VLOOKUP(B49,Deployment!$A$1:$H$500,2,FALSE),Logger!$A$1:$F$500,5,FALSE))</f>
        <v>Solinst/LevelLogger Gold/1038069</v>
      </c>
      <c r="V49" s="17" t="str">
        <f>VLOOKUP(C49,Sites!$A$4:$B$501,2,FALSE)</f>
        <v>WCW367</v>
      </c>
      <c r="W49" s="17" t="str">
        <f>CONCATENATE(VLOOKUP(E49,Sensors!$A$1:$G$500,4,FALSE),"/",VLOOKUP(E49,Sensors!$A$1:$G$500,5,FALSE),"/",VLOOKUP(E49,Sensors!$A$1:$G$500,6,FALSE))</f>
        <v>Solinst/LevelLogger Gold/1038069</v>
      </c>
      <c r="X49" s="17" t="str">
        <f>VLOOKUP(F49,Variables!$A$2:$E$500, 2, FALSE)</f>
        <v>Temperature</v>
      </c>
      <c r="Y49" s="17" t="str">
        <f>VLOOKUP(G49,UnitsCV!$A$1:$D$500,4,FALSE)</f>
        <v>degC</v>
      </c>
      <c r="Z49" s="17" t="str">
        <f>VLOOKUP(K49,DataTypeCV!$A$1:$C$500,2,FALSE)</f>
        <v>Average</v>
      </c>
      <c r="AA49" s="17" t="str">
        <f>VLOOKUP(L49,UnitsCV!$A$1:$D$500,4,FALSE)</f>
        <v>min</v>
      </c>
      <c r="AC49" s="16" t="str">
        <f t="shared" si="1"/>
        <v>2446223962011022</v>
      </c>
    </row>
    <row r="50" spans="1:29" x14ac:dyDescent="0.2">
      <c r="A50">
        <v>49</v>
      </c>
      <c r="B50">
        <v>25</v>
      </c>
      <c r="C50">
        <v>2</v>
      </c>
      <c r="E50">
        <v>7</v>
      </c>
      <c r="F50">
        <v>5</v>
      </c>
      <c r="G50">
        <v>345</v>
      </c>
      <c r="I50">
        <v>1</v>
      </c>
      <c r="J50">
        <v>0</v>
      </c>
      <c r="K50">
        <v>1</v>
      </c>
      <c r="L50">
        <v>102</v>
      </c>
      <c r="M50" s="7">
        <v>2</v>
      </c>
      <c r="T50" s="16">
        <f>VLOOKUP(B50,Deployment!$A$1:$H$500,4,FALSE)</f>
        <v>39912.625</v>
      </c>
      <c r="U50" s="17" t="str">
        <f>CONCATENATE(VLOOKUP(VLOOKUP(B50,Deployment!$A$1:$H$500,2,FALSE),Logger!$A$1:$F$500,3,FALSE),"/",VLOOKUP(VLOOKUP(B50,Deployment!$A$1:$H$500,2,FALSE),Logger!$A$1:$F$500,4,FALSE),"/",VLOOKUP(VLOOKUP(B50,Deployment!$A$1:$H$500,2,FALSE),Logger!$A$1:$F$500,5,FALSE))</f>
        <v>Solinst/LevelLogger Gold/1038582</v>
      </c>
      <c r="V50" s="17" t="str">
        <f>VLOOKUP(C50,Sites!$A$4:$B$501,2,FALSE)</f>
        <v>WCC2156</v>
      </c>
      <c r="W50" s="17" t="str">
        <f>CONCATENATE(VLOOKUP(E50,Sensors!$A$1:$G$500,4,FALSE),"/",VLOOKUP(E50,Sensors!$A$1:$G$500,5,FALSE),"/",VLOOKUP(E50,Sensors!$A$1:$G$500,6,FALSE))</f>
        <v>Solinst/LevelLogger Gold/1038582</v>
      </c>
      <c r="X50" s="17" t="str">
        <f>VLOOKUP(F50,Variables!$A$2:$E$500, 2, FALSE)</f>
        <v>Absolute Pressure</v>
      </c>
      <c r="Y50" s="17" t="str">
        <f>VLOOKUP(G50,UnitsCV!$A$1:$D$500,4,FALSE)</f>
        <v>m H2O</v>
      </c>
      <c r="Z50" s="17" t="str">
        <f>VLOOKUP(K50,DataTypeCV!$A$1:$C$500,2,FALSE)</f>
        <v>Average</v>
      </c>
      <c r="AA50" s="17" t="str">
        <f>VLOOKUP(L50,UnitsCV!$A$1:$D$500,4,FALSE)</f>
        <v>min</v>
      </c>
      <c r="AC50" s="16" t="str">
        <f t="shared" si="1"/>
        <v>252753451011022</v>
      </c>
    </row>
    <row r="51" spans="1:29" x14ac:dyDescent="0.2">
      <c r="A51">
        <v>50</v>
      </c>
      <c r="B51">
        <v>25</v>
      </c>
      <c r="C51">
        <v>2</v>
      </c>
      <c r="E51">
        <v>7</v>
      </c>
      <c r="F51">
        <v>223</v>
      </c>
      <c r="G51">
        <v>96</v>
      </c>
      <c r="I51">
        <v>2</v>
      </c>
      <c r="J51">
        <v>0</v>
      </c>
      <c r="K51">
        <v>1</v>
      </c>
      <c r="L51">
        <v>102</v>
      </c>
      <c r="M51" s="7">
        <v>2</v>
      </c>
      <c r="T51" s="16">
        <f>VLOOKUP(B51,Deployment!$A$1:$H$500,4,FALSE)</f>
        <v>39912.625</v>
      </c>
      <c r="U51" s="17" t="str">
        <f>CONCATENATE(VLOOKUP(VLOOKUP(B51,Deployment!$A$1:$H$500,2,FALSE),Logger!$A$1:$F$500,3,FALSE),"/",VLOOKUP(VLOOKUP(B51,Deployment!$A$1:$H$500,2,FALSE),Logger!$A$1:$F$500,4,FALSE),"/",VLOOKUP(VLOOKUP(B51,Deployment!$A$1:$H$500,2,FALSE),Logger!$A$1:$F$500,5,FALSE))</f>
        <v>Solinst/LevelLogger Gold/1038582</v>
      </c>
      <c r="V51" s="17" t="str">
        <f>VLOOKUP(C51,Sites!$A$4:$B$501,2,FALSE)</f>
        <v>WCC2156</v>
      </c>
      <c r="W51" s="17" t="str">
        <f>CONCATENATE(VLOOKUP(E51,Sensors!$A$1:$G$500,4,FALSE),"/",VLOOKUP(E51,Sensors!$A$1:$G$500,5,FALSE),"/",VLOOKUP(E51,Sensors!$A$1:$G$500,6,FALSE))</f>
        <v>Solinst/LevelLogger Gold/1038582</v>
      </c>
      <c r="X51" s="17" t="str">
        <f>VLOOKUP(F51,Variables!$A$2:$E$500, 2, FALSE)</f>
        <v>Temperature</v>
      </c>
      <c r="Y51" s="17" t="str">
        <f>VLOOKUP(G51,UnitsCV!$A$1:$D$500,4,FALSE)</f>
        <v>degC</v>
      </c>
      <c r="Z51" s="17" t="str">
        <f>VLOOKUP(K51,DataTypeCV!$A$1:$C$500,2,FALSE)</f>
        <v>Average</v>
      </c>
      <c r="AA51" s="17" t="str">
        <f>VLOOKUP(L51,UnitsCV!$A$1:$D$500,4,FALSE)</f>
        <v>min</v>
      </c>
      <c r="AC51" s="16" t="str">
        <f t="shared" si="1"/>
        <v>2527223962011022</v>
      </c>
    </row>
    <row r="52" spans="1:29" x14ac:dyDescent="0.2">
      <c r="A52">
        <v>51</v>
      </c>
      <c r="B52">
        <v>26</v>
      </c>
      <c r="C52">
        <v>2</v>
      </c>
      <c r="E52">
        <v>7</v>
      </c>
      <c r="F52">
        <v>5</v>
      </c>
      <c r="G52">
        <v>345</v>
      </c>
      <c r="I52">
        <v>1</v>
      </c>
      <c r="J52">
        <v>0</v>
      </c>
      <c r="K52">
        <v>1</v>
      </c>
      <c r="L52">
        <v>102</v>
      </c>
      <c r="M52" s="7">
        <v>2</v>
      </c>
      <c r="T52" s="16">
        <f>VLOOKUP(B52,Deployment!$A$1:$H$500,4,FALSE)</f>
        <v>40599.59375</v>
      </c>
      <c r="U52" s="17" t="str">
        <f>CONCATENATE(VLOOKUP(VLOOKUP(B52,Deployment!$A$1:$H$500,2,FALSE),Logger!$A$1:$F$500,3,FALSE),"/",VLOOKUP(VLOOKUP(B52,Deployment!$A$1:$H$500,2,FALSE),Logger!$A$1:$F$500,4,FALSE),"/",VLOOKUP(VLOOKUP(B52,Deployment!$A$1:$H$500,2,FALSE),Logger!$A$1:$F$500,5,FALSE))</f>
        <v>Solinst/LevelLogger Gold/1038582</v>
      </c>
      <c r="V52" s="17" t="str">
        <f>VLOOKUP(C52,Sites!$A$4:$B$501,2,FALSE)</f>
        <v>WCC2156</v>
      </c>
      <c r="W52" s="17" t="str">
        <f>CONCATENATE(VLOOKUP(E52,Sensors!$A$1:$G$500,4,FALSE),"/",VLOOKUP(E52,Sensors!$A$1:$G$500,5,FALSE),"/",VLOOKUP(E52,Sensors!$A$1:$G$500,6,FALSE))</f>
        <v>Solinst/LevelLogger Gold/1038582</v>
      </c>
      <c r="X52" s="17" t="str">
        <f>VLOOKUP(F52,Variables!$A$2:$E$500, 2, FALSE)</f>
        <v>Absolute Pressure</v>
      </c>
      <c r="Y52" s="17" t="str">
        <f>VLOOKUP(G52,UnitsCV!$A$1:$D$500,4,FALSE)</f>
        <v>m H2O</v>
      </c>
      <c r="Z52" s="17" t="str">
        <f>VLOOKUP(K52,DataTypeCV!$A$1:$C$500,2,FALSE)</f>
        <v>Average</v>
      </c>
      <c r="AA52" s="17" t="str">
        <f>VLOOKUP(L52,UnitsCV!$A$1:$D$500,4,FALSE)</f>
        <v>min</v>
      </c>
      <c r="AC52" s="16" t="str">
        <f t="shared" si="1"/>
        <v>262753451011022</v>
      </c>
    </row>
    <row r="53" spans="1:29" x14ac:dyDescent="0.2">
      <c r="A53">
        <v>52</v>
      </c>
      <c r="B53">
        <v>26</v>
      </c>
      <c r="C53">
        <v>2</v>
      </c>
      <c r="E53">
        <v>7</v>
      </c>
      <c r="F53">
        <v>223</v>
      </c>
      <c r="G53">
        <v>96</v>
      </c>
      <c r="I53">
        <v>2</v>
      </c>
      <c r="J53">
        <v>0</v>
      </c>
      <c r="K53">
        <v>1</v>
      </c>
      <c r="L53">
        <v>102</v>
      </c>
      <c r="M53" s="7">
        <v>2</v>
      </c>
      <c r="T53" s="16">
        <f>VLOOKUP(B53,Deployment!$A$1:$H$500,4,FALSE)</f>
        <v>40599.59375</v>
      </c>
      <c r="U53" s="17" t="str">
        <f>CONCATENATE(VLOOKUP(VLOOKUP(B53,Deployment!$A$1:$H$500,2,FALSE),Logger!$A$1:$F$500,3,FALSE),"/",VLOOKUP(VLOOKUP(B53,Deployment!$A$1:$H$500,2,FALSE),Logger!$A$1:$F$500,4,FALSE),"/",VLOOKUP(VLOOKUP(B53,Deployment!$A$1:$H$500,2,FALSE),Logger!$A$1:$F$500,5,FALSE))</f>
        <v>Solinst/LevelLogger Gold/1038582</v>
      </c>
      <c r="V53" s="17" t="str">
        <f>VLOOKUP(C53,Sites!$A$4:$B$501,2,FALSE)</f>
        <v>WCC2156</v>
      </c>
      <c r="W53" s="17" t="str">
        <f>CONCATENATE(VLOOKUP(E53,Sensors!$A$1:$G$500,4,FALSE),"/",VLOOKUP(E53,Sensors!$A$1:$G$500,5,FALSE),"/",VLOOKUP(E53,Sensors!$A$1:$G$500,6,FALSE))</f>
        <v>Solinst/LevelLogger Gold/1038582</v>
      </c>
      <c r="X53" s="17" t="str">
        <f>VLOOKUP(F53,Variables!$A$2:$E$500, 2, FALSE)</f>
        <v>Temperature</v>
      </c>
      <c r="Y53" s="17" t="str">
        <f>VLOOKUP(G53,UnitsCV!$A$1:$D$500,4,FALSE)</f>
        <v>degC</v>
      </c>
      <c r="Z53" s="17" t="str">
        <f>VLOOKUP(K53,DataTypeCV!$A$1:$C$500,2,FALSE)</f>
        <v>Average</v>
      </c>
      <c r="AA53" s="17" t="str">
        <f>VLOOKUP(L53,UnitsCV!$A$1:$D$500,4,FALSE)</f>
        <v>min</v>
      </c>
      <c r="AC53" s="16" t="str">
        <f t="shared" si="1"/>
        <v>2627223962011022</v>
      </c>
    </row>
    <row r="54" spans="1:29" x14ac:dyDescent="0.2">
      <c r="A54">
        <v>53</v>
      </c>
      <c r="B54">
        <v>27</v>
      </c>
      <c r="C54">
        <v>1</v>
      </c>
      <c r="E54">
        <v>8</v>
      </c>
      <c r="F54">
        <v>1</v>
      </c>
      <c r="G54">
        <v>1</v>
      </c>
      <c r="I54">
        <v>1</v>
      </c>
      <c r="J54">
        <v>15</v>
      </c>
      <c r="K54">
        <v>1</v>
      </c>
      <c r="L54">
        <v>102</v>
      </c>
      <c r="M54" s="7">
        <v>2</v>
      </c>
      <c r="T54" s="16">
        <f>VLOOKUP(B54,Deployment!$A$1:$H$500,4,FALSE)</f>
        <v>40632.566666666666</v>
      </c>
      <c r="U54" s="17" t="str">
        <f>CONCATENATE(VLOOKUP(VLOOKUP(B54,Deployment!$A$1:$H$500,2,FALSE),Logger!$A$1:$F$500,3,FALSE),"/",VLOOKUP(VLOOKUP(B54,Deployment!$A$1:$H$500,2,FALSE),Logger!$A$1:$F$500,4,FALSE),"/",VLOOKUP(VLOOKUP(B54,Deployment!$A$1:$H$500,2,FALSE),Logger!$A$1:$F$500,5,FALSE))</f>
        <v>Telog/2108 (Potentiometric)/13324</v>
      </c>
      <c r="V54" s="17" t="str">
        <f>VLOOKUP(C54,Sites!$A$4:$B$501,2,FALSE)</f>
        <v>WCC000</v>
      </c>
      <c r="W54" s="17" t="str">
        <f>CONCATENATE(VLOOKUP(E54,Sensors!$A$1:$G$500,4,FALSE),"/",VLOOKUP(E54,Sensors!$A$1:$G$500,5,FALSE),"/",VLOOKUP(E54,Sensors!$A$1:$G$500,6,FALSE))</f>
        <v>Spectrol/830/9806</v>
      </c>
      <c r="X54" s="17" t="str">
        <f>VLOOKUP(F54,Variables!$A$2:$E$500, 2, FALSE)</f>
        <v>% Full Scale (4.5 feet)</v>
      </c>
      <c r="Y54" s="17" t="str">
        <f>VLOOKUP(G54,UnitsCV!$A$1:$D$500,4,FALSE)</f>
        <v>%</v>
      </c>
      <c r="Z54" s="17" t="str">
        <f>VLOOKUP(K54,DataTypeCV!$A$1:$C$500,2,FALSE)</f>
        <v>Average</v>
      </c>
      <c r="AA54" s="17" t="str">
        <f>VLOOKUP(L54,UnitsCV!$A$1:$D$500,4,FALSE)</f>
        <v>min</v>
      </c>
      <c r="AC54" s="16" t="str">
        <f t="shared" si="1"/>
        <v>27181111511022</v>
      </c>
    </row>
    <row r="55" spans="1:29" x14ac:dyDescent="0.2">
      <c r="A55">
        <v>54</v>
      </c>
      <c r="B55">
        <v>28</v>
      </c>
      <c r="C55">
        <v>1</v>
      </c>
      <c r="E55">
        <v>8</v>
      </c>
      <c r="F55">
        <v>1</v>
      </c>
      <c r="G55">
        <v>1</v>
      </c>
      <c r="I55">
        <v>1</v>
      </c>
      <c r="J55">
        <v>5</v>
      </c>
      <c r="K55">
        <v>1</v>
      </c>
      <c r="L55">
        <v>102</v>
      </c>
      <c r="M55" s="7">
        <v>2</v>
      </c>
      <c r="T55" s="16">
        <f>VLOOKUP(B55,Deployment!$A$1:$H$500,4,FALSE)</f>
        <v>40640.76666666667</v>
      </c>
      <c r="U55" s="17" t="str">
        <f>CONCATENATE(VLOOKUP(VLOOKUP(B55,Deployment!$A$1:$H$500,2,FALSE),Logger!$A$1:$F$500,3,FALSE),"/",VLOOKUP(VLOOKUP(B55,Deployment!$A$1:$H$500,2,FALSE),Logger!$A$1:$F$500,4,FALSE),"/",VLOOKUP(VLOOKUP(B55,Deployment!$A$1:$H$500,2,FALSE),Logger!$A$1:$F$500,5,FALSE))</f>
        <v>Telog/2108 (Potentiometric)/13324</v>
      </c>
      <c r="V55" s="17" t="str">
        <f>VLOOKUP(C55,Sites!$A$4:$B$501,2,FALSE)</f>
        <v>WCC000</v>
      </c>
      <c r="W55" s="17" t="str">
        <f>CONCATENATE(VLOOKUP(E55,Sensors!$A$1:$G$500,4,FALSE),"/",VLOOKUP(E55,Sensors!$A$1:$G$500,5,FALSE),"/",VLOOKUP(E55,Sensors!$A$1:$G$500,6,FALSE))</f>
        <v>Spectrol/830/9806</v>
      </c>
      <c r="X55" s="17" t="str">
        <f>VLOOKUP(F55,Variables!$A$2:$E$500, 2, FALSE)</f>
        <v>% Full Scale (4.5 feet)</v>
      </c>
      <c r="Y55" s="17" t="str">
        <f>VLOOKUP(G55,UnitsCV!$A$1:$D$500,4,FALSE)</f>
        <v>%</v>
      </c>
      <c r="Z55" s="17" t="str">
        <f>VLOOKUP(K55,DataTypeCV!$A$1:$C$500,2,FALSE)</f>
        <v>Average</v>
      </c>
      <c r="AA55" s="17" t="str">
        <f>VLOOKUP(L55,UnitsCV!$A$1:$D$500,4,FALSE)</f>
        <v>min</v>
      </c>
      <c r="AC55" s="16" t="str">
        <f t="shared" si="1"/>
        <v>2818111511022</v>
      </c>
    </row>
    <row r="56" spans="1:29" x14ac:dyDescent="0.2">
      <c r="A56">
        <v>55</v>
      </c>
      <c r="B56">
        <v>29</v>
      </c>
      <c r="C56">
        <v>1</v>
      </c>
      <c r="E56">
        <v>9</v>
      </c>
      <c r="F56">
        <v>2</v>
      </c>
      <c r="G56">
        <v>1</v>
      </c>
      <c r="I56">
        <v>1</v>
      </c>
      <c r="J56">
        <v>5</v>
      </c>
      <c r="K56">
        <v>1</v>
      </c>
      <c r="L56">
        <v>102</v>
      </c>
      <c r="M56" s="7">
        <v>2</v>
      </c>
      <c r="T56" s="16">
        <f>VLOOKUP(B56,Deployment!$A$1:$H$500,4,FALSE)</f>
        <v>40597.569444444445</v>
      </c>
      <c r="U56" s="17" t="str">
        <f>CONCATENATE(VLOOKUP(VLOOKUP(B56,Deployment!$A$1:$H$500,2,FALSE),Logger!$A$1:$F$500,3,FALSE),"/",VLOOKUP(VLOOKUP(B56,Deployment!$A$1:$H$500,2,FALSE),Logger!$A$1:$F$500,4,FALSE),"/",VLOOKUP(VLOOKUP(B56,Deployment!$A$1:$H$500,2,FALSE),Logger!$A$1:$F$500,5,FALSE))</f>
        <v>Telog/2109e (Pressure)/2211</v>
      </c>
      <c r="V56" s="17" t="str">
        <f>VLOOKUP(C56,Sites!$A$4:$B$501,2,FALSE)</f>
        <v>WCC000</v>
      </c>
      <c r="W56" s="17" t="str">
        <f>CONCATENATE(VLOOKUP(E56,Sensors!$A$1:$G$500,4,FALSE),"/",VLOOKUP(E56,Sensors!$A$1:$G$500,5,FALSE),"/",VLOOKUP(E56,Sensors!$A$1:$G$500,6,FALSE))</f>
        <v>Telog/PDCR 1830 (5psi)/1499119</v>
      </c>
      <c r="X56" s="17" t="str">
        <f>VLOOKUP(F56,Variables!$A$2:$E$500, 2, FALSE)</f>
        <v>% Full Scale (5 psi)</v>
      </c>
      <c r="Y56" s="17" t="str">
        <f>VLOOKUP(G56,UnitsCV!$A$1:$D$500,4,FALSE)</f>
        <v>%</v>
      </c>
      <c r="Z56" s="17" t="str">
        <f>VLOOKUP(K56,DataTypeCV!$A$1:$C$500,2,FALSE)</f>
        <v>Average</v>
      </c>
      <c r="AA56" s="17" t="str">
        <f>VLOOKUP(L56,UnitsCV!$A$1:$D$500,4,FALSE)</f>
        <v>min</v>
      </c>
      <c r="AC56" s="16" t="str">
        <f t="shared" si="1"/>
        <v>2919211511022</v>
      </c>
    </row>
    <row r="57" spans="1:29" x14ac:dyDescent="0.2">
      <c r="A57">
        <v>56</v>
      </c>
      <c r="B57">
        <v>30</v>
      </c>
      <c r="C57">
        <v>8</v>
      </c>
      <c r="E57">
        <v>10</v>
      </c>
      <c r="F57">
        <v>2</v>
      </c>
      <c r="G57">
        <v>1</v>
      </c>
      <c r="I57">
        <v>1</v>
      </c>
      <c r="J57">
        <v>15</v>
      </c>
      <c r="K57">
        <v>1</v>
      </c>
      <c r="L57">
        <v>102</v>
      </c>
      <c r="M57" s="7">
        <v>2</v>
      </c>
      <c r="T57" s="16">
        <f>VLOOKUP(B57,Deployment!$A$1:$H$500,4,FALSE)</f>
        <v>39863.522222222222</v>
      </c>
      <c r="U57" s="17" t="str">
        <f>CONCATENATE(VLOOKUP(VLOOKUP(B57,Deployment!$A$1:$H$500,2,FALSE),Logger!$A$1:$F$500,3,FALSE),"/",VLOOKUP(VLOOKUP(B57,Deployment!$A$1:$H$500,2,FALSE),Logger!$A$1:$F$500,4,FALSE),"/",VLOOKUP(VLOOKUP(B57,Deployment!$A$1:$H$500,2,FALSE),Logger!$A$1:$F$500,5,FALSE))</f>
        <v>Telog/2109e (Pressure)/3392</v>
      </c>
      <c r="V57" s="17" t="str">
        <f>VLOOKUP(C57,Sites!$A$4:$B$501,2,FALSE)</f>
        <v>WELL008</v>
      </c>
      <c r="W57" s="17" t="str">
        <f>CONCATENATE(VLOOKUP(E57,Sensors!$A$1:$G$500,4,FALSE),"/",VLOOKUP(E57,Sensors!$A$1:$G$500,5,FALSE),"/",VLOOKUP(E57,Sensors!$A$1:$G$500,6,FALSE))</f>
        <v>Telog/PDCR 1830-8335 (5psi)/1813395</v>
      </c>
      <c r="X57" s="17" t="str">
        <f>VLOOKUP(F57,Variables!$A$2:$E$500, 2, FALSE)</f>
        <v>% Full Scale (5 psi)</v>
      </c>
      <c r="Y57" s="17" t="str">
        <f>VLOOKUP(G57,UnitsCV!$A$1:$D$500,4,FALSE)</f>
        <v>%</v>
      </c>
      <c r="Z57" s="17" t="str">
        <f>VLOOKUP(K57,DataTypeCV!$A$1:$C$500,2,FALSE)</f>
        <v>Average</v>
      </c>
      <c r="AA57" s="17" t="str">
        <f>VLOOKUP(L57,UnitsCV!$A$1:$D$500,4,FALSE)</f>
        <v>min</v>
      </c>
      <c r="AC57" s="16" t="str">
        <f t="shared" si="1"/>
        <v>308102111511022</v>
      </c>
    </row>
    <row r="58" spans="1:29" x14ac:dyDescent="0.2">
      <c r="A58">
        <v>57</v>
      </c>
      <c r="B58">
        <v>31</v>
      </c>
      <c r="C58">
        <v>8</v>
      </c>
      <c r="E58">
        <v>10</v>
      </c>
      <c r="F58">
        <v>2</v>
      </c>
      <c r="G58">
        <v>1</v>
      </c>
      <c r="I58">
        <v>1</v>
      </c>
      <c r="J58">
        <v>5</v>
      </c>
      <c r="K58">
        <v>1</v>
      </c>
      <c r="L58">
        <v>102</v>
      </c>
      <c r="M58" s="7">
        <v>2</v>
      </c>
      <c r="T58" s="16">
        <f>VLOOKUP(B58,Deployment!$A$1:$H$500,4,FALSE)</f>
        <v>40620.681944444441</v>
      </c>
      <c r="U58" s="17" t="str">
        <f>CONCATENATE(VLOOKUP(VLOOKUP(B58,Deployment!$A$1:$H$500,2,FALSE),Logger!$A$1:$F$500,3,FALSE),"/",VLOOKUP(VLOOKUP(B58,Deployment!$A$1:$H$500,2,FALSE),Logger!$A$1:$F$500,4,FALSE),"/",VLOOKUP(VLOOKUP(B58,Deployment!$A$1:$H$500,2,FALSE),Logger!$A$1:$F$500,5,FALSE))</f>
        <v>Telog/2109e (Pressure)/3392</v>
      </c>
      <c r="V58" s="17" t="str">
        <f>VLOOKUP(C58,Sites!$A$4:$B$501,2,FALSE)</f>
        <v>WELL008</v>
      </c>
      <c r="W58" s="17" t="str">
        <f>CONCATENATE(VLOOKUP(E58,Sensors!$A$1:$G$500,4,FALSE),"/",VLOOKUP(E58,Sensors!$A$1:$G$500,5,FALSE),"/",VLOOKUP(E58,Sensors!$A$1:$G$500,6,FALSE))</f>
        <v>Telog/PDCR 1830-8335 (5psi)/1813395</v>
      </c>
      <c r="X58" s="17" t="str">
        <f>VLOOKUP(F58,Variables!$A$2:$E$500, 2, FALSE)</f>
        <v>% Full Scale (5 psi)</v>
      </c>
      <c r="Y58" s="17" t="str">
        <f>VLOOKUP(G58,UnitsCV!$A$1:$D$500,4,FALSE)</f>
        <v>%</v>
      </c>
      <c r="Z58" s="17" t="str">
        <f>VLOOKUP(K58,DataTypeCV!$A$1:$C$500,2,FALSE)</f>
        <v>Average</v>
      </c>
      <c r="AA58" s="17" t="str">
        <f>VLOOKUP(L58,UnitsCV!$A$1:$D$500,4,FALSE)</f>
        <v>min</v>
      </c>
      <c r="AC58" s="16" t="str">
        <f t="shared" si="1"/>
        <v>31810211511022</v>
      </c>
    </row>
    <row r="59" spans="1:29" x14ac:dyDescent="0.2">
      <c r="A59">
        <v>58</v>
      </c>
      <c r="B59">
        <v>32</v>
      </c>
      <c r="C59">
        <v>7</v>
      </c>
      <c r="E59">
        <v>11</v>
      </c>
      <c r="F59">
        <v>232</v>
      </c>
      <c r="G59">
        <v>91</v>
      </c>
      <c r="I59">
        <v>1</v>
      </c>
      <c r="J59">
        <v>15</v>
      </c>
      <c r="K59">
        <v>10</v>
      </c>
      <c r="L59">
        <v>102</v>
      </c>
      <c r="M59" s="7">
        <v>2</v>
      </c>
      <c r="T59" s="16">
        <f>VLOOKUP(B59,Deployment!$A$1:$H$500,4,FALSE)</f>
        <v>39863.49722222222</v>
      </c>
      <c r="U59" s="17" t="str">
        <f>CONCATENATE(VLOOKUP(VLOOKUP(B59,Deployment!$A$1:$H$500,2,FALSE),Logger!$A$1:$F$500,3,FALSE),"/",VLOOKUP(VLOOKUP(B59,Deployment!$A$1:$H$500,2,FALSE),Logger!$A$1:$F$500,4,FALSE),"/",VLOOKUP(VLOOKUP(B59,Deployment!$A$1:$H$500,2,FALSE),Logger!$A$1:$F$500,5,FALSE))</f>
        <v>Telog/WLS31/22071</v>
      </c>
      <c r="V59" s="17" t="str">
        <f>VLOOKUP(C59,Sites!$A$4:$B$501,2,FALSE)</f>
        <v>WELL007</v>
      </c>
      <c r="W59" s="17" t="str">
        <f>CONCATENATE(VLOOKUP(E59,Sensors!$A$1:$G$500,4,FALSE),"/",VLOOKUP(E59,Sensors!$A$1:$G$500,5,FALSE),"/",VLOOKUP(E59,Sensors!$A$1:$G$500,6,FALSE))</f>
        <v>Telog/PDCR 1830-8335 (5psi)/2002064</v>
      </c>
      <c r="X59" s="17" t="str">
        <f>VLOOKUP(F59,Variables!$A$2:$E$500, 2, FALSE)</f>
        <v>Vented Water Pressure</v>
      </c>
      <c r="Y59" s="17" t="str">
        <f>VLOOKUP(G59,UnitsCV!$A$1:$D$500,4,FALSE)</f>
        <v>psi</v>
      </c>
      <c r="Z59" s="17" t="str">
        <f>VLOOKUP(K59,DataTypeCV!$A$1:$C$500,2,FALSE)</f>
        <v>Minimum</v>
      </c>
      <c r="AA59" s="17" t="str">
        <f>VLOOKUP(L59,UnitsCV!$A$1:$D$500,4,FALSE)</f>
        <v>min</v>
      </c>
      <c r="AC59" s="16" t="str">
        <f t="shared" si="1"/>
        <v>3271123291115101022</v>
      </c>
    </row>
    <row r="60" spans="1:29" x14ac:dyDescent="0.2">
      <c r="A60">
        <v>59</v>
      </c>
      <c r="B60">
        <v>32</v>
      </c>
      <c r="C60">
        <v>7</v>
      </c>
      <c r="E60">
        <v>11</v>
      </c>
      <c r="F60">
        <v>232</v>
      </c>
      <c r="G60">
        <v>91</v>
      </c>
      <c r="I60">
        <v>2</v>
      </c>
      <c r="J60">
        <v>15</v>
      </c>
      <c r="K60">
        <v>1</v>
      </c>
      <c r="L60">
        <v>102</v>
      </c>
      <c r="M60" s="7">
        <v>2</v>
      </c>
      <c r="T60" s="16">
        <f>VLOOKUP(B60,Deployment!$A$1:$H$500,4,FALSE)</f>
        <v>39863.49722222222</v>
      </c>
      <c r="U60" s="17" t="str">
        <f>CONCATENATE(VLOOKUP(VLOOKUP(B60,Deployment!$A$1:$H$500,2,FALSE),Logger!$A$1:$F$500,3,FALSE),"/",VLOOKUP(VLOOKUP(B60,Deployment!$A$1:$H$500,2,FALSE),Logger!$A$1:$F$500,4,FALSE),"/",VLOOKUP(VLOOKUP(B60,Deployment!$A$1:$H$500,2,FALSE),Logger!$A$1:$F$500,5,FALSE))</f>
        <v>Telog/WLS31/22071</v>
      </c>
      <c r="V60" s="17" t="str">
        <f>VLOOKUP(C60,Sites!$A$4:$B$501,2,FALSE)</f>
        <v>WELL007</v>
      </c>
      <c r="W60" s="17" t="str">
        <f>CONCATENATE(VLOOKUP(E60,Sensors!$A$1:$G$500,4,FALSE),"/",VLOOKUP(E60,Sensors!$A$1:$G$500,5,FALSE),"/",VLOOKUP(E60,Sensors!$A$1:$G$500,6,FALSE))</f>
        <v>Telog/PDCR 1830-8335 (5psi)/2002064</v>
      </c>
      <c r="X60" s="17" t="str">
        <f>VLOOKUP(F60,Variables!$A$2:$E$500, 2, FALSE)</f>
        <v>Vented Water Pressure</v>
      </c>
      <c r="Y60" s="17" t="str">
        <f>VLOOKUP(G60,UnitsCV!$A$1:$D$500,4,FALSE)</f>
        <v>psi</v>
      </c>
      <c r="Z60" s="17" t="str">
        <f>VLOOKUP(K60,DataTypeCV!$A$1:$C$500,2,FALSE)</f>
        <v>Average</v>
      </c>
      <c r="AA60" s="17" t="str">
        <f>VLOOKUP(L60,UnitsCV!$A$1:$D$500,4,FALSE)</f>
        <v>min</v>
      </c>
      <c r="AC60" s="16" t="str">
        <f t="shared" si="1"/>
        <v>327112329121511022</v>
      </c>
    </row>
    <row r="61" spans="1:29" x14ac:dyDescent="0.2">
      <c r="A61">
        <v>60</v>
      </c>
      <c r="B61">
        <v>32</v>
      </c>
      <c r="C61">
        <v>7</v>
      </c>
      <c r="E61">
        <v>11</v>
      </c>
      <c r="F61">
        <v>232</v>
      </c>
      <c r="G61">
        <v>91</v>
      </c>
      <c r="I61">
        <v>3</v>
      </c>
      <c r="J61">
        <v>15</v>
      </c>
      <c r="K61">
        <v>8</v>
      </c>
      <c r="L61">
        <v>102</v>
      </c>
      <c r="M61" s="7">
        <v>2</v>
      </c>
      <c r="T61" s="16">
        <f>VLOOKUP(B61,Deployment!$A$1:$H$500,4,FALSE)</f>
        <v>39863.49722222222</v>
      </c>
      <c r="U61" s="17" t="str">
        <f>CONCATENATE(VLOOKUP(VLOOKUP(B61,Deployment!$A$1:$H$500,2,FALSE),Logger!$A$1:$F$500,3,FALSE),"/",VLOOKUP(VLOOKUP(B61,Deployment!$A$1:$H$500,2,FALSE),Logger!$A$1:$F$500,4,FALSE),"/",VLOOKUP(VLOOKUP(B61,Deployment!$A$1:$H$500,2,FALSE),Logger!$A$1:$F$500,5,FALSE))</f>
        <v>Telog/WLS31/22071</v>
      </c>
      <c r="V61" s="17" t="str">
        <f>VLOOKUP(C61,Sites!$A$4:$B$501,2,FALSE)</f>
        <v>WELL007</v>
      </c>
      <c r="W61" s="17" t="str">
        <f>CONCATENATE(VLOOKUP(E61,Sensors!$A$1:$G$500,4,FALSE),"/",VLOOKUP(E61,Sensors!$A$1:$G$500,5,FALSE),"/",VLOOKUP(E61,Sensors!$A$1:$G$500,6,FALSE))</f>
        <v>Telog/PDCR 1830-8335 (5psi)/2002064</v>
      </c>
      <c r="X61" s="17" t="str">
        <f>VLOOKUP(F61,Variables!$A$2:$E$500, 2, FALSE)</f>
        <v>Vented Water Pressure</v>
      </c>
      <c r="Y61" s="17" t="str">
        <f>VLOOKUP(G61,UnitsCV!$A$1:$D$500,4,FALSE)</f>
        <v>psi</v>
      </c>
      <c r="Z61" s="17" t="str">
        <f>VLOOKUP(K61,DataTypeCV!$A$1:$C$500,2,FALSE)</f>
        <v>Maximum</v>
      </c>
      <c r="AA61" s="17" t="str">
        <f>VLOOKUP(L61,UnitsCV!$A$1:$D$500,4,FALSE)</f>
        <v>min</v>
      </c>
      <c r="AC61" s="16" t="str">
        <f t="shared" si="1"/>
        <v>327112329131581022</v>
      </c>
    </row>
    <row r="62" spans="1:29" x14ac:dyDescent="0.2">
      <c r="A62">
        <v>61</v>
      </c>
      <c r="B62">
        <v>33</v>
      </c>
      <c r="C62">
        <v>7</v>
      </c>
      <c r="E62">
        <v>11</v>
      </c>
      <c r="F62">
        <v>232</v>
      </c>
      <c r="G62">
        <v>91</v>
      </c>
      <c r="I62">
        <v>1</v>
      </c>
      <c r="J62">
        <v>5</v>
      </c>
      <c r="K62">
        <v>10</v>
      </c>
      <c r="L62">
        <v>102</v>
      </c>
      <c r="M62" s="7">
        <v>2</v>
      </c>
      <c r="T62" s="16">
        <f>VLOOKUP(B62,Deployment!$A$1:$H$500,4,FALSE)</f>
        <v>40620.677083333336</v>
      </c>
      <c r="U62" s="17" t="str">
        <f>CONCATENATE(VLOOKUP(VLOOKUP(B62,Deployment!$A$1:$H$500,2,FALSE),Logger!$A$1:$F$500,3,FALSE),"/",VLOOKUP(VLOOKUP(B62,Deployment!$A$1:$H$500,2,FALSE),Logger!$A$1:$F$500,4,FALSE),"/",VLOOKUP(VLOOKUP(B62,Deployment!$A$1:$H$500,2,FALSE),Logger!$A$1:$F$500,5,FALSE))</f>
        <v>Telog/WLS31/22071</v>
      </c>
      <c r="V62" s="17" t="str">
        <f>VLOOKUP(C62,Sites!$A$4:$B$501,2,FALSE)</f>
        <v>WELL007</v>
      </c>
      <c r="W62" s="17" t="str">
        <f>CONCATENATE(VLOOKUP(E62,Sensors!$A$1:$G$500,4,FALSE),"/",VLOOKUP(E62,Sensors!$A$1:$G$500,5,FALSE),"/",VLOOKUP(E62,Sensors!$A$1:$G$500,6,FALSE))</f>
        <v>Telog/PDCR 1830-8335 (5psi)/2002064</v>
      </c>
      <c r="X62" s="17" t="str">
        <f>VLOOKUP(F62,Variables!$A$2:$E$500, 2, FALSE)</f>
        <v>Vented Water Pressure</v>
      </c>
      <c r="Y62" s="17" t="str">
        <f>VLOOKUP(G62,UnitsCV!$A$1:$D$500,4,FALSE)</f>
        <v>psi</v>
      </c>
      <c r="Z62" s="17" t="str">
        <f>VLOOKUP(K62,DataTypeCV!$A$1:$C$500,2,FALSE)</f>
        <v>Minimum</v>
      </c>
      <c r="AA62" s="17" t="str">
        <f>VLOOKUP(L62,UnitsCV!$A$1:$D$500,4,FALSE)</f>
        <v>min</v>
      </c>
      <c r="AC62" s="16" t="str">
        <f t="shared" si="1"/>
        <v>337112329115101022</v>
      </c>
    </row>
    <row r="63" spans="1:29" x14ac:dyDescent="0.2">
      <c r="A63">
        <v>62</v>
      </c>
      <c r="B63">
        <v>33</v>
      </c>
      <c r="C63">
        <v>7</v>
      </c>
      <c r="E63">
        <v>11</v>
      </c>
      <c r="F63">
        <v>232</v>
      </c>
      <c r="G63">
        <v>91</v>
      </c>
      <c r="I63">
        <v>2</v>
      </c>
      <c r="J63">
        <v>5</v>
      </c>
      <c r="K63">
        <v>1</v>
      </c>
      <c r="L63">
        <v>102</v>
      </c>
      <c r="M63" s="7">
        <v>2</v>
      </c>
      <c r="T63" s="16">
        <f>VLOOKUP(B63,Deployment!$A$1:$H$500,4,FALSE)</f>
        <v>40620.677083333336</v>
      </c>
      <c r="U63" s="17" t="str">
        <f>CONCATENATE(VLOOKUP(VLOOKUP(B63,Deployment!$A$1:$H$500,2,FALSE),Logger!$A$1:$F$500,3,FALSE),"/",VLOOKUP(VLOOKUP(B63,Deployment!$A$1:$H$500,2,FALSE),Logger!$A$1:$F$500,4,FALSE),"/",VLOOKUP(VLOOKUP(B63,Deployment!$A$1:$H$500,2,FALSE),Logger!$A$1:$F$500,5,FALSE))</f>
        <v>Telog/WLS31/22071</v>
      </c>
      <c r="V63" s="17" t="str">
        <f>VLOOKUP(C63,Sites!$A$4:$B$501,2,FALSE)</f>
        <v>WELL007</v>
      </c>
      <c r="W63" s="17" t="str">
        <f>CONCATENATE(VLOOKUP(E63,Sensors!$A$1:$G$500,4,FALSE),"/",VLOOKUP(E63,Sensors!$A$1:$G$500,5,FALSE),"/",VLOOKUP(E63,Sensors!$A$1:$G$500,6,FALSE))</f>
        <v>Telog/PDCR 1830-8335 (5psi)/2002064</v>
      </c>
      <c r="X63" s="17" t="str">
        <f>VLOOKUP(F63,Variables!$A$2:$E$500, 2, FALSE)</f>
        <v>Vented Water Pressure</v>
      </c>
      <c r="Y63" s="17" t="str">
        <f>VLOOKUP(G63,UnitsCV!$A$1:$D$500,4,FALSE)</f>
        <v>psi</v>
      </c>
      <c r="Z63" s="17" t="str">
        <f>VLOOKUP(K63,DataTypeCV!$A$1:$C$500,2,FALSE)</f>
        <v>Average</v>
      </c>
      <c r="AA63" s="17" t="str">
        <f>VLOOKUP(L63,UnitsCV!$A$1:$D$500,4,FALSE)</f>
        <v>min</v>
      </c>
      <c r="AC63" s="16" t="str">
        <f t="shared" si="1"/>
        <v>33711232912511022</v>
      </c>
    </row>
    <row r="64" spans="1:29" x14ac:dyDescent="0.2">
      <c r="A64">
        <v>63</v>
      </c>
      <c r="B64">
        <v>33</v>
      </c>
      <c r="C64">
        <v>7</v>
      </c>
      <c r="E64">
        <v>11</v>
      </c>
      <c r="F64">
        <v>232</v>
      </c>
      <c r="G64">
        <v>91</v>
      </c>
      <c r="I64">
        <v>3</v>
      </c>
      <c r="J64">
        <v>5</v>
      </c>
      <c r="K64">
        <v>8</v>
      </c>
      <c r="L64">
        <v>102</v>
      </c>
      <c r="M64" s="7">
        <v>2</v>
      </c>
      <c r="T64" s="16">
        <f>VLOOKUP(B64,Deployment!$A$1:$H$500,4,FALSE)</f>
        <v>40620.677083333336</v>
      </c>
      <c r="U64" s="17" t="str">
        <f>CONCATENATE(VLOOKUP(VLOOKUP(B64,Deployment!$A$1:$H$500,2,FALSE),Logger!$A$1:$F$500,3,FALSE),"/",VLOOKUP(VLOOKUP(B64,Deployment!$A$1:$H$500,2,FALSE),Logger!$A$1:$F$500,4,FALSE),"/",VLOOKUP(VLOOKUP(B64,Deployment!$A$1:$H$500,2,FALSE),Logger!$A$1:$F$500,5,FALSE))</f>
        <v>Telog/WLS31/22071</v>
      </c>
      <c r="V64" s="17" t="str">
        <f>VLOOKUP(C64,Sites!$A$4:$B$501,2,FALSE)</f>
        <v>WELL007</v>
      </c>
      <c r="W64" s="17" t="str">
        <f>CONCATENATE(VLOOKUP(E64,Sensors!$A$1:$G$500,4,FALSE),"/",VLOOKUP(E64,Sensors!$A$1:$G$500,5,FALSE),"/",VLOOKUP(E64,Sensors!$A$1:$G$500,6,FALSE))</f>
        <v>Telog/PDCR 1830-8335 (5psi)/2002064</v>
      </c>
      <c r="X64" s="17" t="str">
        <f>VLOOKUP(F64,Variables!$A$2:$E$500, 2, FALSE)</f>
        <v>Vented Water Pressure</v>
      </c>
      <c r="Y64" s="17" t="str">
        <f>VLOOKUP(G64,UnitsCV!$A$1:$D$500,4,FALSE)</f>
        <v>psi</v>
      </c>
      <c r="Z64" s="17" t="str">
        <f>VLOOKUP(K64,DataTypeCV!$A$1:$C$500,2,FALSE)</f>
        <v>Maximum</v>
      </c>
      <c r="AA64" s="17" t="str">
        <f>VLOOKUP(L64,UnitsCV!$A$1:$D$500,4,FALSE)</f>
        <v>min</v>
      </c>
      <c r="AC64" s="16" t="str">
        <f t="shared" si="1"/>
        <v>33711232913581022</v>
      </c>
    </row>
    <row r="65" spans="1:29" x14ac:dyDescent="0.2">
      <c r="A65">
        <v>64</v>
      </c>
      <c r="B65">
        <v>34</v>
      </c>
      <c r="C65">
        <v>10</v>
      </c>
      <c r="E65">
        <v>12</v>
      </c>
      <c r="F65">
        <v>232</v>
      </c>
      <c r="G65">
        <v>91</v>
      </c>
      <c r="I65">
        <v>1</v>
      </c>
      <c r="J65">
        <v>15</v>
      </c>
      <c r="K65">
        <v>10</v>
      </c>
      <c r="L65">
        <v>102</v>
      </c>
      <c r="M65" s="7">
        <v>2</v>
      </c>
      <c r="T65" s="16">
        <f>VLOOKUP(B65,Deployment!$A$1:$H$500,4,FALSE)</f>
        <v>39860.685416666667</v>
      </c>
      <c r="U65" s="17" t="str">
        <f>CONCATENATE(VLOOKUP(VLOOKUP(B65,Deployment!$A$1:$H$500,2,FALSE),Logger!$A$1:$F$500,3,FALSE),"/",VLOOKUP(VLOOKUP(B65,Deployment!$A$1:$H$500,2,FALSE),Logger!$A$1:$F$500,4,FALSE),"/",VLOOKUP(VLOOKUP(B65,Deployment!$A$1:$H$500,2,FALSE),Logger!$A$1:$F$500,5,FALSE))</f>
        <v>Telog/WLS31/21914</v>
      </c>
      <c r="V65" s="17" t="str">
        <f>VLOOKUP(C65,Sites!$A$4:$B$501,2,FALSE)</f>
        <v>WELL018</v>
      </c>
      <c r="W65" s="17" t="str">
        <f>CONCATENATE(VLOOKUP(E65,Sensors!$A$1:$G$500,4,FALSE),"/",VLOOKUP(E65,Sensors!$A$1:$G$500,5,FALSE),"/",VLOOKUP(E65,Sensors!$A$1:$G$500,6,FALSE))</f>
        <v>Telog/PDCR 1830-8335 (30psi)/1813395</v>
      </c>
      <c r="X65" s="17" t="str">
        <f>VLOOKUP(F65,Variables!$A$2:$E$500, 2, FALSE)</f>
        <v>Vented Water Pressure</v>
      </c>
      <c r="Y65" s="17" t="str">
        <f>VLOOKUP(G65,UnitsCV!$A$1:$D$500,4,FALSE)</f>
        <v>psi</v>
      </c>
      <c r="Z65" s="17" t="str">
        <f>VLOOKUP(K65,DataTypeCV!$A$1:$C$500,2,FALSE)</f>
        <v>Minimum</v>
      </c>
      <c r="AA65" s="17" t="str">
        <f>VLOOKUP(L65,UnitsCV!$A$1:$D$500,4,FALSE)</f>
        <v>min</v>
      </c>
      <c r="AC65" s="16" t="str">
        <f t="shared" si="1"/>
        <v>34101223291115101022</v>
      </c>
    </row>
    <row r="66" spans="1:29" x14ac:dyDescent="0.2">
      <c r="A66">
        <v>65</v>
      </c>
      <c r="B66">
        <v>34</v>
      </c>
      <c r="C66">
        <v>10</v>
      </c>
      <c r="E66">
        <v>12</v>
      </c>
      <c r="F66">
        <v>232</v>
      </c>
      <c r="G66">
        <v>91</v>
      </c>
      <c r="I66">
        <v>2</v>
      </c>
      <c r="J66">
        <v>15</v>
      </c>
      <c r="K66">
        <v>1</v>
      </c>
      <c r="L66">
        <v>102</v>
      </c>
      <c r="M66" s="7">
        <v>2</v>
      </c>
      <c r="T66" s="16">
        <f>VLOOKUP(B66,Deployment!$A$1:$H$500,4,FALSE)</f>
        <v>39860.685416666667</v>
      </c>
      <c r="U66" s="17" t="str">
        <f>CONCATENATE(VLOOKUP(VLOOKUP(B66,Deployment!$A$1:$H$500,2,FALSE),Logger!$A$1:$F$500,3,FALSE),"/",VLOOKUP(VLOOKUP(B66,Deployment!$A$1:$H$500,2,FALSE),Logger!$A$1:$F$500,4,FALSE),"/",VLOOKUP(VLOOKUP(B66,Deployment!$A$1:$H$500,2,FALSE),Logger!$A$1:$F$500,5,FALSE))</f>
        <v>Telog/WLS31/21914</v>
      </c>
      <c r="V66" s="17" t="str">
        <f>VLOOKUP(C66,Sites!$A$4:$B$501,2,FALSE)</f>
        <v>WELL018</v>
      </c>
      <c r="W66" s="17" t="str">
        <f>CONCATENATE(VLOOKUP(E66,Sensors!$A$1:$G$500,4,FALSE),"/",VLOOKUP(E66,Sensors!$A$1:$G$500,5,FALSE),"/",VLOOKUP(E66,Sensors!$A$1:$G$500,6,FALSE))</f>
        <v>Telog/PDCR 1830-8335 (30psi)/1813395</v>
      </c>
      <c r="X66" s="17" t="str">
        <f>VLOOKUP(F66,Variables!$A$2:$E$500, 2, FALSE)</f>
        <v>Vented Water Pressure</v>
      </c>
      <c r="Y66" s="17" t="str">
        <f>VLOOKUP(G66,UnitsCV!$A$1:$D$500,4,FALSE)</f>
        <v>psi</v>
      </c>
      <c r="Z66" s="17" t="str">
        <f>VLOOKUP(K66,DataTypeCV!$A$1:$C$500,2,FALSE)</f>
        <v>Average</v>
      </c>
      <c r="AA66" s="17" t="str">
        <f>VLOOKUP(L66,UnitsCV!$A$1:$D$500,4,FALSE)</f>
        <v>min</v>
      </c>
      <c r="AC66" s="16" t="str">
        <f t="shared" ref="AC66:AC97" si="2">CONCATENATE(B66,C66,E66,F66,G66,I66,J66,K66,L66,M66,N66,O66,P66,Q66,R66)</f>
        <v>3410122329121511022</v>
      </c>
    </row>
    <row r="67" spans="1:29" x14ac:dyDescent="0.2">
      <c r="A67">
        <v>66</v>
      </c>
      <c r="B67">
        <v>34</v>
      </c>
      <c r="C67">
        <v>10</v>
      </c>
      <c r="E67">
        <v>12</v>
      </c>
      <c r="F67">
        <v>232</v>
      </c>
      <c r="G67">
        <v>91</v>
      </c>
      <c r="I67">
        <v>3</v>
      </c>
      <c r="J67">
        <v>15</v>
      </c>
      <c r="K67">
        <v>8</v>
      </c>
      <c r="L67">
        <v>102</v>
      </c>
      <c r="M67" s="7">
        <v>2</v>
      </c>
      <c r="T67" s="16">
        <f>VLOOKUP(B67,Deployment!$A$1:$H$500,4,FALSE)</f>
        <v>39860.685416666667</v>
      </c>
      <c r="U67" s="17" t="str">
        <f>CONCATENATE(VLOOKUP(VLOOKUP(B67,Deployment!$A$1:$H$500,2,FALSE),Logger!$A$1:$F$500,3,FALSE),"/",VLOOKUP(VLOOKUP(B67,Deployment!$A$1:$H$500,2,FALSE),Logger!$A$1:$F$500,4,FALSE),"/",VLOOKUP(VLOOKUP(B67,Deployment!$A$1:$H$500,2,FALSE),Logger!$A$1:$F$500,5,FALSE))</f>
        <v>Telog/WLS31/21914</v>
      </c>
      <c r="V67" s="17" t="str">
        <f>VLOOKUP(C67,Sites!$A$4:$B$501,2,FALSE)</f>
        <v>WELL018</v>
      </c>
      <c r="W67" s="17" t="str">
        <f>CONCATENATE(VLOOKUP(E67,Sensors!$A$1:$G$500,4,FALSE),"/",VLOOKUP(E67,Sensors!$A$1:$G$500,5,FALSE),"/",VLOOKUP(E67,Sensors!$A$1:$G$500,6,FALSE))</f>
        <v>Telog/PDCR 1830-8335 (30psi)/1813395</v>
      </c>
      <c r="X67" s="17" t="str">
        <f>VLOOKUP(F67,Variables!$A$2:$E$500, 2, FALSE)</f>
        <v>Vented Water Pressure</v>
      </c>
      <c r="Y67" s="17" t="str">
        <f>VLOOKUP(G67,UnitsCV!$A$1:$D$500,4,FALSE)</f>
        <v>psi</v>
      </c>
      <c r="Z67" s="17" t="str">
        <f>VLOOKUP(K67,DataTypeCV!$A$1:$C$500,2,FALSE)</f>
        <v>Maximum</v>
      </c>
      <c r="AA67" s="17" t="str">
        <f>VLOOKUP(L67,UnitsCV!$A$1:$D$500,4,FALSE)</f>
        <v>min</v>
      </c>
      <c r="AC67" s="16" t="str">
        <f t="shared" si="2"/>
        <v>3410122329131581022</v>
      </c>
    </row>
    <row r="68" spans="1:29" x14ac:dyDescent="0.2">
      <c r="A68">
        <v>67</v>
      </c>
      <c r="B68">
        <v>35</v>
      </c>
      <c r="C68">
        <v>6</v>
      </c>
      <c r="E68">
        <v>12</v>
      </c>
      <c r="F68">
        <v>232</v>
      </c>
      <c r="G68">
        <v>91</v>
      </c>
      <c r="I68">
        <v>1</v>
      </c>
      <c r="J68">
        <v>15</v>
      </c>
      <c r="K68">
        <v>10</v>
      </c>
      <c r="L68">
        <v>102</v>
      </c>
      <c r="M68" s="7">
        <v>2</v>
      </c>
      <c r="T68" s="16">
        <f>VLOOKUP(B68,Deployment!$A$1:$H$500,4,FALSE)</f>
        <v>40259.664583333331</v>
      </c>
      <c r="U68" s="17" t="str">
        <f>CONCATENATE(VLOOKUP(VLOOKUP(B68,Deployment!$A$1:$H$500,2,FALSE),Logger!$A$1:$F$500,3,FALSE),"/",VLOOKUP(VLOOKUP(B68,Deployment!$A$1:$H$500,2,FALSE),Logger!$A$1:$F$500,4,FALSE),"/",VLOOKUP(VLOOKUP(B68,Deployment!$A$1:$H$500,2,FALSE),Logger!$A$1:$F$500,5,FALSE))</f>
        <v>Telog/WLS31/21914</v>
      </c>
      <c r="V68" s="17" t="str">
        <f>VLOOKUP(C68,Sites!$A$4:$B$501,2,FALSE)</f>
        <v>WELL006</v>
      </c>
      <c r="W68" s="17" t="str">
        <f>CONCATENATE(VLOOKUP(E68,Sensors!$A$1:$G$500,4,FALSE),"/",VLOOKUP(E68,Sensors!$A$1:$G$500,5,FALSE),"/",VLOOKUP(E68,Sensors!$A$1:$G$500,6,FALSE))</f>
        <v>Telog/PDCR 1830-8335 (30psi)/1813395</v>
      </c>
      <c r="X68" s="17" t="str">
        <f>VLOOKUP(F68,Variables!$A$2:$E$500, 2, FALSE)</f>
        <v>Vented Water Pressure</v>
      </c>
      <c r="Y68" s="17" t="str">
        <f>VLOOKUP(G68,UnitsCV!$A$1:$D$500,4,FALSE)</f>
        <v>psi</v>
      </c>
      <c r="Z68" s="17" t="str">
        <f>VLOOKUP(K68,DataTypeCV!$A$1:$C$500,2,FALSE)</f>
        <v>Minimum</v>
      </c>
      <c r="AA68" s="17" t="str">
        <f>VLOOKUP(L68,UnitsCV!$A$1:$D$500,4,FALSE)</f>
        <v>min</v>
      </c>
      <c r="AC68" s="16" t="str">
        <f t="shared" si="2"/>
        <v>3561223291115101022</v>
      </c>
    </row>
    <row r="69" spans="1:29" x14ac:dyDescent="0.2">
      <c r="A69">
        <v>68</v>
      </c>
      <c r="B69">
        <v>35</v>
      </c>
      <c r="C69">
        <v>6</v>
      </c>
      <c r="E69">
        <v>12</v>
      </c>
      <c r="F69">
        <v>232</v>
      </c>
      <c r="G69">
        <v>91</v>
      </c>
      <c r="I69">
        <v>2</v>
      </c>
      <c r="J69">
        <v>15</v>
      </c>
      <c r="K69">
        <v>1</v>
      </c>
      <c r="L69">
        <v>102</v>
      </c>
      <c r="M69" s="7">
        <v>2</v>
      </c>
      <c r="T69" s="16">
        <f>VLOOKUP(B69,Deployment!$A$1:$H$500,4,FALSE)</f>
        <v>40259.664583333331</v>
      </c>
      <c r="U69" s="17" t="str">
        <f>CONCATENATE(VLOOKUP(VLOOKUP(B69,Deployment!$A$1:$H$500,2,FALSE),Logger!$A$1:$F$500,3,FALSE),"/",VLOOKUP(VLOOKUP(B69,Deployment!$A$1:$H$500,2,FALSE),Logger!$A$1:$F$500,4,FALSE),"/",VLOOKUP(VLOOKUP(B69,Deployment!$A$1:$H$500,2,FALSE),Logger!$A$1:$F$500,5,FALSE))</f>
        <v>Telog/WLS31/21914</v>
      </c>
      <c r="V69" s="17" t="str">
        <f>VLOOKUP(C69,Sites!$A$4:$B$501,2,FALSE)</f>
        <v>WELL006</v>
      </c>
      <c r="W69" s="17" t="str">
        <f>CONCATENATE(VLOOKUP(E69,Sensors!$A$1:$G$500,4,FALSE),"/",VLOOKUP(E69,Sensors!$A$1:$G$500,5,FALSE),"/",VLOOKUP(E69,Sensors!$A$1:$G$500,6,FALSE))</f>
        <v>Telog/PDCR 1830-8335 (30psi)/1813395</v>
      </c>
      <c r="X69" s="17" t="str">
        <f>VLOOKUP(F69,Variables!$A$2:$E$500, 2, FALSE)</f>
        <v>Vented Water Pressure</v>
      </c>
      <c r="Y69" s="17" t="str">
        <f>VLOOKUP(G69,UnitsCV!$A$1:$D$500,4,FALSE)</f>
        <v>psi</v>
      </c>
      <c r="Z69" s="17" t="str">
        <f>VLOOKUP(K69,DataTypeCV!$A$1:$C$500,2,FALSE)</f>
        <v>Average</v>
      </c>
      <c r="AA69" s="17" t="str">
        <f>VLOOKUP(L69,UnitsCV!$A$1:$D$500,4,FALSE)</f>
        <v>min</v>
      </c>
      <c r="AC69" s="16" t="str">
        <f t="shared" si="2"/>
        <v>356122329121511022</v>
      </c>
    </row>
    <row r="70" spans="1:29" x14ac:dyDescent="0.2">
      <c r="A70">
        <v>69</v>
      </c>
      <c r="B70">
        <v>35</v>
      </c>
      <c r="C70">
        <v>6</v>
      </c>
      <c r="E70">
        <v>12</v>
      </c>
      <c r="F70">
        <v>232</v>
      </c>
      <c r="G70">
        <v>91</v>
      </c>
      <c r="I70">
        <v>3</v>
      </c>
      <c r="J70">
        <v>15</v>
      </c>
      <c r="K70">
        <v>8</v>
      </c>
      <c r="L70">
        <v>102</v>
      </c>
      <c r="M70" s="7">
        <v>2</v>
      </c>
      <c r="T70" s="16">
        <f>VLOOKUP(B70,Deployment!$A$1:$H$500,4,FALSE)</f>
        <v>40259.664583333331</v>
      </c>
      <c r="U70" s="17" t="str">
        <f>CONCATENATE(VLOOKUP(VLOOKUP(B70,Deployment!$A$1:$H$500,2,FALSE),Logger!$A$1:$F$500,3,FALSE),"/",VLOOKUP(VLOOKUP(B70,Deployment!$A$1:$H$500,2,FALSE),Logger!$A$1:$F$500,4,FALSE),"/",VLOOKUP(VLOOKUP(B70,Deployment!$A$1:$H$500,2,FALSE),Logger!$A$1:$F$500,5,FALSE))</f>
        <v>Telog/WLS31/21914</v>
      </c>
      <c r="V70" s="17" t="str">
        <f>VLOOKUP(C70,Sites!$A$4:$B$501,2,FALSE)</f>
        <v>WELL006</v>
      </c>
      <c r="W70" s="17" t="str">
        <f>CONCATENATE(VLOOKUP(E70,Sensors!$A$1:$G$500,4,FALSE),"/",VLOOKUP(E70,Sensors!$A$1:$G$500,5,FALSE),"/",VLOOKUP(E70,Sensors!$A$1:$G$500,6,FALSE))</f>
        <v>Telog/PDCR 1830-8335 (30psi)/1813395</v>
      </c>
      <c r="X70" s="17" t="str">
        <f>VLOOKUP(F70,Variables!$A$2:$E$500, 2, FALSE)</f>
        <v>Vented Water Pressure</v>
      </c>
      <c r="Y70" s="17" t="str">
        <f>VLOOKUP(G70,UnitsCV!$A$1:$D$500,4,FALSE)</f>
        <v>psi</v>
      </c>
      <c r="Z70" s="17" t="str">
        <f>VLOOKUP(K70,DataTypeCV!$A$1:$C$500,2,FALSE)</f>
        <v>Maximum</v>
      </c>
      <c r="AA70" s="17" t="str">
        <f>VLOOKUP(L70,UnitsCV!$A$1:$D$500,4,FALSE)</f>
        <v>min</v>
      </c>
      <c r="AC70" s="16" t="str">
        <f t="shared" si="2"/>
        <v>356122329131581022</v>
      </c>
    </row>
    <row r="71" spans="1:29" x14ac:dyDescent="0.2">
      <c r="A71">
        <v>70</v>
      </c>
      <c r="B71">
        <v>36</v>
      </c>
      <c r="C71">
        <v>6</v>
      </c>
      <c r="E71">
        <v>12</v>
      </c>
      <c r="F71">
        <v>232</v>
      </c>
      <c r="G71">
        <v>91</v>
      </c>
      <c r="I71">
        <v>1</v>
      </c>
      <c r="J71">
        <v>15</v>
      </c>
      <c r="K71">
        <v>10</v>
      </c>
      <c r="L71">
        <v>102</v>
      </c>
      <c r="M71" s="7">
        <v>2</v>
      </c>
      <c r="T71" s="16">
        <f>VLOOKUP(B71,Deployment!$A$1:$H$500,4,FALSE)</f>
        <v>40500.668055555558</v>
      </c>
      <c r="U71" s="17" t="str">
        <f>CONCATENATE(VLOOKUP(VLOOKUP(B71,Deployment!$A$1:$H$500,2,FALSE),Logger!$A$1:$F$500,3,FALSE),"/",VLOOKUP(VLOOKUP(B71,Deployment!$A$1:$H$500,2,FALSE),Logger!$A$1:$F$500,4,FALSE),"/",VLOOKUP(VLOOKUP(B71,Deployment!$A$1:$H$500,2,FALSE),Logger!$A$1:$F$500,5,FALSE))</f>
        <v>Telog/WLS31/21914</v>
      </c>
      <c r="V71" s="17" t="str">
        <f>VLOOKUP(C71,Sites!$A$4:$B$501,2,FALSE)</f>
        <v>WELL006</v>
      </c>
      <c r="W71" s="17" t="str">
        <f>CONCATENATE(VLOOKUP(E71,Sensors!$A$1:$G$500,4,FALSE),"/",VLOOKUP(E71,Sensors!$A$1:$G$500,5,FALSE),"/",VLOOKUP(E71,Sensors!$A$1:$G$500,6,FALSE))</f>
        <v>Telog/PDCR 1830-8335 (30psi)/1813395</v>
      </c>
      <c r="X71" s="17" t="str">
        <f>VLOOKUP(F71,Variables!$A$2:$E$500, 2, FALSE)</f>
        <v>Vented Water Pressure</v>
      </c>
      <c r="Y71" s="17" t="str">
        <f>VLOOKUP(G71,UnitsCV!$A$1:$D$500,4,FALSE)</f>
        <v>psi</v>
      </c>
      <c r="Z71" s="17" t="str">
        <f>VLOOKUP(K71,DataTypeCV!$A$1:$C$500,2,FALSE)</f>
        <v>Minimum</v>
      </c>
      <c r="AA71" s="17" t="str">
        <f>VLOOKUP(L71,UnitsCV!$A$1:$D$500,4,FALSE)</f>
        <v>min</v>
      </c>
      <c r="AC71" s="16" t="str">
        <f t="shared" si="2"/>
        <v>3661223291115101022</v>
      </c>
    </row>
    <row r="72" spans="1:29" x14ac:dyDescent="0.2">
      <c r="A72">
        <v>71</v>
      </c>
      <c r="B72">
        <v>36</v>
      </c>
      <c r="C72">
        <v>6</v>
      </c>
      <c r="E72">
        <v>12</v>
      </c>
      <c r="F72">
        <v>232</v>
      </c>
      <c r="G72">
        <v>91</v>
      </c>
      <c r="I72">
        <v>2</v>
      </c>
      <c r="J72">
        <v>15</v>
      </c>
      <c r="K72">
        <v>1</v>
      </c>
      <c r="L72">
        <v>102</v>
      </c>
      <c r="M72" s="7">
        <v>2</v>
      </c>
      <c r="T72" s="16">
        <f>VLOOKUP(B72,Deployment!$A$1:$H$500,4,FALSE)</f>
        <v>40500.668055555558</v>
      </c>
      <c r="U72" s="17" t="str">
        <f>CONCATENATE(VLOOKUP(VLOOKUP(B72,Deployment!$A$1:$H$500,2,FALSE),Logger!$A$1:$F$500,3,FALSE),"/",VLOOKUP(VLOOKUP(B72,Deployment!$A$1:$H$500,2,FALSE),Logger!$A$1:$F$500,4,FALSE),"/",VLOOKUP(VLOOKUP(B72,Deployment!$A$1:$H$500,2,FALSE),Logger!$A$1:$F$500,5,FALSE))</f>
        <v>Telog/WLS31/21914</v>
      </c>
      <c r="V72" s="17" t="str">
        <f>VLOOKUP(C72,Sites!$A$4:$B$501,2,FALSE)</f>
        <v>WELL006</v>
      </c>
      <c r="W72" s="17" t="str">
        <f>CONCATENATE(VLOOKUP(E72,Sensors!$A$1:$G$500,4,FALSE),"/",VLOOKUP(E72,Sensors!$A$1:$G$500,5,FALSE),"/",VLOOKUP(E72,Sensors!$A$1:$G$500,6,FALSE))</f>
        <v>Telog/PDCR 1830-8335 (30psi)/1813395</v>
      </c>
      <c r="X72" s="17" t="str">
        <f>VLOOKUP(F72,Variables!$A$2:$E$500, 2, FALSE)</f>
        <v>Vented Water Pressure</v>
      </c>
      <c r="Y72" s="17" t="str">
        <f>VLOOKUP(G72,UnitsCV!$A$1:$D$500,4,FALSE)</f>
        <v>psi</v>
      </c>
      <c r="Z72" s="17" t="str">
        <f>VLOOKUP(K72,DataTypeCV!$A$1:$C$500,2,FALSE)</f>
        <v>Average</v>
      </c>
      <c r="AA72" s="17" t="str">
        <f>VLOOKUP(L72,UnitsCV!$A$1:$D$500,4,FALSE)</f>
        <v>min</v>
      </c>
      <c r="AC72" s="16" t="str">
        <f t="shared" si="2"/>
        <v>366122329121511022</v>
      </c>
    </row>
    <row r="73" spans="1:29" x14ac:dyDescent="0.2">
      <c r="A73">
        <v>72</v>
      </c>
      <c r="B73">
        <v>36</v>
      </c>
      <c r="C73">
        <v>6</v>
      </c>
      <c r="E73">
        <v>12</v>
      </c>
      <c r="F73">
        <v>232</v>
      </c>
      <c r="G73">
        <v>91</v>
      </c>
      <c r="I73">
        <v>3</v>
      </c>
      <c r="J73">
        <v>15</v>
      </c>
      <c r="K73">
        <v>8</v>
      </c>
      <c r="L73">
        <v>102</v>
      </c>
      <c r="M73" s="7">
        <v>2</v>
      </c>
      <c r="T73" s="16">
        <f>VLOOKUP(B73,Deployment!$A$1:$H$500,4,FALSE)</f>
        <v>40500.668055555558</v>
      </c>
      <c r="U73" s="17" t="str">
        <f>CONCATENATE(VLOOKUP(VLOOKUP(B73,Deployment!$A$1:$H$500,2,FALSE),Logger!$A$1:$F$500,3,FALSE),"/",VLOOKUP(VLOOKUP(B73,Deployment!$A$1:$H$500,2,FALSE),Logger!$A$1:$F$500,4,FALSE),"/",VLOOKUP(VLOOKUP(B73,Deployment!$A$1:$H$500,2,FALSE),Logger!$A$1:$F$500,5,FALSE))</f>
        <v>Telog/WLS31/21914</v>
      </c>
      <c r="V73" s="17" t="str">
        <f>VLOOKUP(C73,Sites!$A$4:$B$501,2,FALSE)</f>
        <v>WELL006</v>
      </c>
      <c r="W73" s="17" t="str">
        <f>CONCATENATE(VLOOKUP(E73,Sensors!$A$1:$G$500,4,FALSE),"/",VLOOKUP(E73,Sensors!$A$1:$G$500,5,FALSE),"/",VLOOKUP(E73,Sensors!$A$1:$G$500,6,FALSE))</f>
        <v>Telog/PDCR 1830-8335 (30psi)/1813395</v>
      </c>
      <c r="X73" s="17" t="str">
        <f>VLOOKUP(F73,Variables!$A$2:$E$500, 2, FALSE)</f>
        <v>Vented Water Pressure</v>
      </c>
      <c r="Y73" s="17" t="str">
        <f>VLOOKUP(G73,UnitsCV!$A$1:$D$500,4,FALSE)</f>
        <v>psi</v>
      </c>
      <c r="Z73" s="17" t="str">
        <f>VLOOKUP(K73,DataTypeCV!$A$1:$C$500,2,FALSE)</f>
        <v>Maximum</v>
      </c>
      <c r="AA73" s="17" t="str">
        <f>VLOOKUP(L73,UnitsCV!$A$1:$D$500,4,FALSE)</f>
        <v>min</v>
      </c>
      <c r="AC73" s="16" t="str">
        <f t="shared" si="2"/>
        <v>366122329131581022</v>
      </c>
    </row>
    <row r="74" spans="1:29" x14ac:dyDescent="0.2">
      <c r="A74">
        <v>73</v>
      </c>
      <c r="B74">
        <v>37</v>
      </c>
      <c r="C74">
        <v>6</v>
      </c>
      <c r="E74">
        <v>12</v>
      </c>
      <c r="F74">
        <v>232</v>
      </c>
      <c r="G74">
        <v>91</v>
      </c>
      <c r="I74">
        <v>1</v>
      </c>
      <c r="J74">
        <v>5</v>
      </c>
      <c r="K74">
        <v>10</v>
      </c>
      <c r="L74">
        <v>102</v>
      </c>
      <c r="M74" s="7">
        <v>2</v>
      </c>
      <c r="T74" s="16">
        <f>VLOOKUP(B74,Deployment!$A$1:$H$500,4,FALSE)</f>
        <v>40620.689583333333</v>
      </c>
      <c r="U74" s="17" t="str">
        <f>CONCATENATE(VLOOKUP(VLOOKUP(B74,Deployment!$A$1:$H$500,2,FALSE),Logger!$A$1:$F$500,3,FALSE),"/",VLOOKUP(VLOOKUP(B74,Deployment!$A$1:$H$500,2,FALSE),Logger!$A$1:$F$500,4,FALSE),"/",VLOOKUP(VLOOKUP(B74,Deployment!$A$1:$H$500,2,FALSE),Logger!$A$1:$F$500,5,FALSE))</f>
        <v>Telog/WLS31/21914</v>
      </c>
      <c r="V74" s="17" t="str">
        <f>VLOOKUP(C74,Sites!$A$4:$B$501,2,FALSE)</f>
        <v>WELL006</v>
      </c>
      <c r="W74" s="17" t="str">
        <f>CONCATENATE(VLOOKUP(E74,Sensors!$A$1:$G$500,4,FALSE),"/",VLOOKUP(E74,Sensors!$A$1:$G$500,5,FALSE),"/",VLOOKUP(E74,Sensors!$A$1:$G$500,6,FALSE))</f>
        <v>Telog/PDCR 1830-8335 (30psi)/1813395</v>
      </c>
      <c r="X74" s="17" t="str">
        <f>VLOOKUP(F74,Variables!$A$2:$E$500, 2, FALSE)</f>
        <v>Vented Water Pressure</v>
      </c>
      <c r="Y74" s="17" t="str">
        <f>VLOOKUP(G74,UnitsCV!$A$1:$D$500,4,FALSE)</f>
        <v>psi</v>
      </c>
      <c r="Z74" s="17" t="str">
        <f>VLOOKUP(K74,DataTypeCV!$A$1:$C$500,2,FALSE)</f>
        <v>Minimum</v>
      </c>
      <c r="AA74" s="17" t="str">
        <f>VLOOKUP(L74,UnitsCV!$A$1:$D$500,4,FALSE)</f>
        <v>min</v>
      </c>
      <c r="AC74" s="16" t="str">
        <f t="shared" si="2"/>
        <v>376122329115101022</v>
      </c>
    </row>
    <row r="75" spans="1:29" x14ac:dyDescent="0.2">
      <c r="A75">
        <v>74</v>
      </c>
      <c r="B75">
        <v>37</v>
      </c>
      <c r="C75">
        <v>6</v>
      </c>
      <c r="E75">
        <v>12</v>
      </c>
      <c r="F75">
        <v>232</v>
      </c>
      <c r="G75">
        <v>91</v>
      </c>
      <c r="I75">
        <v>2</v>
      </c>
      <c r="J75">
        <v>5</v>
      </c>
      <c r="K75">
        <v>1</v>
      </c>
      <c r="L75">
        <v>102</v>
      </c>
      <c r="M75" s="7">
        <v>2</v>
      </c>
      <c r="T75" s="16">
        <f>VLOOKUP(B75,Deployment!$A$1:$H$500,4,FALSE)</f>
        <v>40620.689583333333</v>
      </c>
      <c r="U75" s="17" t="str">
        <f>CONCATENATE(VLOOKUP(VLOOKUP(B75,Deployment!$A$1:$H$500,2,FALSE),Logger!$A$1:$F$500,3,FALSE),"/",VLOOKUP(VLOOKUP(B75,Deployment!$A$1:$H$500,2,FALSE),Logger!$A$1:$F$500,4,FALSE),"/",VLOOKUP(VLOOKUP(B75,Deployment!$A$1:$H$500,2,FALSE),Logger!$A$1:$F$500,5,FALSE))</f>
        <v>Telog/WLS31/21914</v>
      </c>
      <c r="V75" s="17" t="str">
        <f>VLOOKUP(C75,Sites!$A$4:$B$501,2,FALSE)</f>
        <v>WELL006</v>
      </c>
      <c r="W75" s="17" t="str">
        <f>CONCATENATE(VLOOKUP(E75,Sensors!$A$1:$G$500,4,FALSE),"/",VLOOKUP(E75,Sensors!$A$1:$G$500,5,FALSE),"/",VLOOKUP(E75,Sensors!$A$1:$G$500,6,FALSE))</f>
        <v>Telog/PDCR 1830-8335 (30psi)/1813395</v>
      </c>
      <c r="X75" s="17" t="str">
        <f>VLOOKUP(F75,Variables!$A$2:$E$500, 2, FALSE)</f>
        <v>Vented Water Pressure</v>
      </c>
      <c r="Y75" s="17" t="str">
        <f>VLOOKUP(G75,UnitsCV!$A$1:$D$500,4,FALSE)</f>
        <v>psi</v>
      </c>
      <c r="Z75" s="17" t="str">
        <f>VLOOKUP(K75,DataTypeCV!$A$1:$C$500,2,FALSE)</f>
        <v>Average</v>
      </c>
      <c r="AA75" s="17" t="str">
        <f>VLOOKUP(L75,UnitsCV!$A$1:$D$500,4,FALSE)</f>
        <v>min</v>
      </c>
      <c r="AC75" s="16" t="str">
        <f t="shared" si="2"/>
        <v>37612232912511022</v>
      </c>
    </row>
    <row r="76" spans="1:29" x14ac:dyDescent="0.2">
      <c r="A76">
        <v>75</v>
      </c>
      <c r="B76">
        <v>37</v>
      </c>
      <c r="C76">
        <v>6</v>
      </c>
      <c r="E76">
        <v>12</v>
      </c>
      <c r="F76">
        <v>232</v>
      </c>
      <c r="G76">
        <v>91</v>
      </c>
      <c r="I76">
        <v>3</v>
      </c>
      <c r="J76">
        <v>5</v>
      </c>
      <c r="K76">
        <v>8</v>
      </c>
      <c r="L76">
        <v>102</v>
      </c>
      <c r="M76" s="7">
        <v>2</v>
      </c>
      <c r="T76" s="16">
        <f>VLOOKUP(B76,Deployment!$A$1:$H$500,4,FALSE)</f>
        <v>40620.689583333333</v>
      </c>
      <c r="U76" s="17" t="str">
        <f>CONCATENATE(VLOOKUP(VLOOKUP(B76,Deployment!$A$1:$H$500,2,FALSE),Logger!$A$1:$F$500,3,FALSE),"/",VLOOKUP(VLOOKUP(B76,Deployment!$A$1:$H$500,2,FALSE),Logger!$A$1:$F$500,4,FALSE),"/",VLOOKUP(VLOOKUP(B76,Deployment!$A$1:$H$500,2,FALSE),Logger!$A$1:$F$500,5,FALSE))</f>
        <v>Telog/WLS31/21914</v>
      </c>
      <c r="V76" s="17" t="str">
        <f>VLOOKUP(C76,Sites!$A$4:$B$501,2,FALSE)</f>
        <v>WELL006</v>
      </c>
      <c r="W76" s="17" t="str">
        <f>CONCATENATE(VLOOKUP(E76,Sensors!$A$1:$G$500,4,FALSE),"/",VLOOKUP(E76,Sensors!$A$1:$G$500,5,FALSE),"/",VLOOKUP(E76,Sensors!$A$1:$G$500,6,FALSE))</f>
        <v>Telog/PDCR 1830-8335 (30psi)/1813395</v>
      </c>
      <c r="X76" s="17" t="str">
        <f>VLOOKUP(F76,Variables!$A$2:$E$500, 2, FALSE)</f>
        <v>Vented Water Pressure</v>
      </c>
      <c r="Y76" s="17" t="str">
        <f>VLOOKUP(G76,UnitsCV!$A$1:$D$500,4,FALSE)</f>
        <v>psi</v>
      </c>
      <c r="Z76" s="17" t="str">
        <f>VLOOKUP(K76,DataTypeCV!$A$1:$C$500,2,FALSE)</f>
        <v>Maximum</v>
      </c>
      <c r="AA76" s="17" t="str">
        <f>VLOOKUP(L76,UnitsCV!$A$1:$D$500,4,FALSE)</f>
        <v>min</v>
      </c>
      <c r="AC76" s="16" t="str">
        <f t="shared" si="2"/>
        <v>37612232913581022</v>
      </c>
    </row>
    <row r="77" spans="1:29" x14ac:dyDescent="0.2">
      <c r="A77">
        <v>76</v>
      </c>
      <c r="B77">
        <v>38</v>
      </c>
      <c r="C77">
        <v>5</v>
      </c>
      <c r="E77">
        <v>13</v>
      </c>
      <c r="F77">
        <v>2</v>
      </c>
      <c r="G77">
        <v>1</v>
      </c>
      <c r="I77">
        <v>1</v>
      </c>
      <c r="J77">
        <v>15</v>
      </c>
      <c r="K77">
        <v>10</v>
      </c>
      <c r="L77">
        <v>102</v>
      </c>
      <c r="M77" s="7">
        <v>2</v>
      </c>
      <c r="T77" s="16">
        <f>VLOOKUP(B77,Deployment!$A$1:$H$500,4,FALSE)</f>
        <v>39861.714583333334</v>
      </c>
      <c r="U77" s="17" t="str">
        <f>CONCATENATE(VLOOKUP(VLOOKUP(B77,Deployment!$A$1:$H$500,2,FALSE),Logger!$A$1:$F$500,3,FALSE),"/",VLOOKUP(VLOOKUP(B77,Deployment!$A$1:$H$500,2,FALSE),Logger!$A$1:$F$500,4,FALSE),"/",VLOOKUP(VLOOKUP(B77,Deployment!$A$1:$H$500,2,FALSE),Logger!$A$1:$F$500,5,FALSE))</f>
        <v>Telog/WLS31/22095</v>
      </c>
      <c r="V77" s="17" t="str">
        <f>VLOOKUP(C77,Sites!$A$4:$B$501,2,FALSE)</f>
        <v>WELL003</v>
      </c>
      <c r="W77" s="17" t="str">
        <f>CONCATENATE(VLOOKUP(E77,Sensors!$A$1:$G$500,4,FALSE),"/",VLOOKUP(E77,Sensors!$A$1:$G$500,5,FALSE),"/",VLOOKUP(E77,Sensors!$A$1:$G$500,6,FALSE))</f>
        <v>Telog/PDCR 1830-8335 (5psi)/2037684</v>
      </c>
      <c r="X77" s="17" t="str">
        <f>VLOOKUP(F77,Variables!$A$2:$E$500, 2, FALSE)</f>
        <v>% Full Scale (5 psi)</v>
      </c>
      <c r="Y77" s="17" t="str">
        <f>VLOOKUP(G77,UnitsCV!$A$1:$D$500,4,FALSE)</f>
        <v>%</v>
      </c>
      <c r="Z77" s="17" t="str">
        <f>VLOOKUP(K77,DataTypeCV!$A$1:$C$500,2,FALSE)</f>
        <v>Minimum</v>
      </c>
      <c r="AA77" s="17" t="str">
        <f>VLOOKUP(L77,UnitsCV!$A$1:$D$500,4,FALSE)</f>
        <v>min</v>
      </c>
      <c r="AC77" s="16" t="str">
        <f t="shared" si="2"/>
        <v>3851321115101022</v>
      </c>
    </row>
    <row r="78" spans="1:29" x14ac:dyDescent="0.2">
      <c r="A78">
        <v>77</v>
      </c>
      <c r="B78">
        <v>38</v>
      </c>
      <c r="C78">
        <v>5</v>
      </c>
      <c r="E78">
        <v>13</v>
      </c>
      <c r="F78">
        <v>2</v>
      </c>
      <c r="G78">
        <v>1</v>
      </c>
      <c r="I78">
        <v>2</v>
      </c>
      <c r="J78">
        <v>15</v>
      </c>
      <c r="K78">
        <v>1</v>
      </c>
      <c r="L78">
        <v>102</v>
      </c>
      <c r="M78" s="7">
        <v>2</v>
      </c>
      <c r="T78" s="16">
        <f>VLOOKUP(B78,Deployment!$A$1:$H$500,4,FALSE)</f>
        <v>39861.714583333334</v>
      </c>
      <c r="U78" s="17" t="str">
        <f>CONCATENATE(VLOOKUP(VLOOKUP(B78,Deployment!$A$1:$H$500,2,FALSE),Logger!$A$1:$F$500,3,FALSE),"/",VLOOKUP(VLOOKUP(B78,Deployment!$A$1:$H$500,2,FALSE),Logger!$A$1:$F$500,4,FALSE),"/",VLOOKUP(VLOOKUP(B78,Deployment!$A$1:$H$500,2,FALSE),Logger!$A$1:$F$500,5,FALSE))</f>
        <v>Telog/WLS31/22095</v>
      </c>
      <c r="V78" s="17" t="str">
        <f>VLOOKUP(C78,Sites!$A$4:$B$501,2,FALSE)</f>
        <v>WELL003</v>
      </c>
      <c r="W78" s="17" t="str">
        <f>CONCATENATE(VLOOKUP(E78,Sensors!$A$1:$G$500,4,FALSE),"/",VLOOKUP(E78,Sensors!$A$1:$G$500,5,FALSE),"/",VLOOKUP(E78,Sensors!$A$1:$G$500,6,FALSE))</f>
        <v>Telog/PDCR 1830-8335 (5psi)/2037684</v>
      </c>
      <c r="X78" s="17" t="str">
        <f>VLOOKUP(F78,Variables!$A$2:$E$500, 2, FALSE)</f>
        <v>% Full Scale (5 psi)</v>
      </c>
      <c r="Y78" s="17" t="str">
        <f>VLOOKUP(G78,UnitsCV!$A$1:$D$500,4,FALSE)</f>
        <v>%</v>
      </c>
      <c r="Z78" s="17" t="str">
        <f>VLOOKUP(K78,DataTypeCV!$A$1:$C$500,2,FALSE)</f>
        <v>Average</v>
      </c>
      <c r="AA78" s="17" t="str">
        <f>VLOOKUP(L78,UnitsCV!$A$1:$D$500,4,FALSE)</f>
        <v>min</v>
      </c>
      <c r="AC78" s="16" t="str">
        <f t="shared" si="2"/>
        <v>385132121511022</v>
      </c>
    </row>
    <row r="79" spans="1:29" x14ac:dyDescent="0.2">
      <c r="A79">
        <v>78</v>
      </c>
      <c r="B79">
        <v>38</v>
      </c>
      <c r="C79">
        <v>5</v>
      </c>
      <c r="E79">
        <v>13</v>
      </c>
      <c r="F79">
        <v>2</v>
      </c>
      <c r="G79">
        <v>1</v>
      </c>
      <c r="I79">
        <v>3</v>
      </c>
      <c r="J79">
        <v>15</v>
      </c>
      <c r="K79">
        <v>8</v>
      </c>
      <c r="L79">
        <v>102</v>
      </c>
      <c r="M79" s="7">
        <v>2</v>
      </c>
      <c r="T79" s="16">
        <f>VLOOKUP(B79,Deployment!$A$1:$H$500,4,FALSE)</f>
        <v>39861.714583333334</v>
      </c>
      <c r="U79" s="17" t="str">
        <f>CONCATENATE(VLOOKUP(VLOOKUP(B79,Deployment!$A$1:$H$500,2,FALSE),Logger!$A$1:$F$500,3,FALSE),"/",VLOOKUP(VLOOKUP(B79,Deployment!$A$1:$H$500,2,FALSE),Logger!$A$1:$F$500,4,FALSE),"/",VLOOKUP(VLOOKUP(B79,Deployment!$A$1:$H$500,2,FALSE),Logger!$A$1:$F$500,5,FALSE))</f>
        <v>Telog/WLS31/22095</v>
      </c>
      <c r="V79" s="17" t="str">
        <f>VLOOKUP(C79,Sites!$A$4:$B$501,2,FALSE)</f>
        <v>WELL003</v>
      </c>
      <c r="W79" s="17" t="str">
        <f>CONCATENATE(VLOOKUP(E79,Sensors!$A$1:$G$500,4,FALSE),"/",VLOOKUP(E79,Sensors!$A$1:$G$500,5,FALSE),"/",VLOOKUP(E79,Sensors!$A$1:$G$500,6,FALSE))</f>
        <v>Telog/PDCR 1830-8335 (5psi)/2037684</v>
      </c>
      <c r="X79" s="17" t="str">
        <f>VLOOKUP(F79,Variables!$A$2:$E$500, 2, FALSE)</f>
        <v>% Full Scale (5 psi)</v>
      </c>
      <c r="Y79" s="17" t="str">
        <f>VLOOKUP(G79,UnitsCV!$A$1:$D$500,4,FALSE)</f>
        <v>%</v>
      </c>
      <c r="Z79" s="17" t="str">
        <f>VLOOKUP(K79,DataTypeCV!$A$1:$C$500,2,FALSE)</f>
        <v>Maximum</v>
      </c>
      <c r="AA79" s="17" t="str">
        <f>VLOOKUP(L79,UnitsCV!$A$1:$D$500,4,FALSE)</f>
        <v>min</v>
      </c>
      <c r="AC79" s="16" t="str">
        <f t="shared" si="2"/>
        <v>385132131581022</v>
      </c>
    </row>
    <row r="80" spans="1:29" x14ac:dyDescent="0.2">
      <c r="A80">
        <v>79</v>
      </c>
      <c r="B80">
        <v>39</v>
      </c>
      <c r="C80">
        <v>10</v>
      </c>
      <c r="E80">
        <v>13</v>
      </c>
      <c r="F80">
        <v>2</v>
      </c>
      <c r="G80">
        <v>1</v>
      </c>
      <c r="I80">
        <v>1</v>
      </c>
      <c r="J80">
        <v>15</v>
      </c>
      <c r="K80">
        <v>10</v>
      </c>
      <c r="L80">
        <v>102</v>
      </c>
      <c r="M80" s="7">
        <v>2</v>
      </c>
      <c r="T80" s="16">
        <f>VLOOKUP(B80,Deployment!$A$1:$H$500,4,FALSE)</f>
        <v>39905.631249999999</v>
      </c>
      <c r="U80" s="17" t="str">
        <f>CONCATENATE(VLOOKUP(VLOOKUP(B80,Deployment!$A$1:$H$500,2,FALSE),Logger!$A$1:$F$500,3,FALSE),"/",VLOOKUP(VLOOKUP(B80,Deployment!$A$1:$H$500,2,FALSE),Logger!$A$1:$F$500,4,FALSE),"/",VLOOKUP(VLOOKUP(B80,Deployment!$A$1:$H$500,2,FALSE),Logger!$A$1:$F$500,5,FALSE))</f>
        <v>Telog/WLS31/22095</v>
      </c>
      <c r="V80" s="17" t="str">
        <f>VLOOKUP(C80,Sites!$A$4:$B$501,2,FALSE)</f>
        <v>WELL018</v>
      </c>
      <c r="W80" s="17" t="str">
        <f>CONCATENATE(VLOOKUP(E80,Sensors!$A$1:$G$500,4,FALSE),"/",VLOOKUP(E80,Sensors!$A$1:$G$500,5,FALSE),"/",VLOOKUP(E80,Sensors!$A$1:$G$500,6,FALSE))</f>
        <v>Telog/PDCR 1830-8335 (5psi)/2037684</v>
      </c>
      <c r="X80" s="17" t="str">
        <f>VLOOKUP(F80,Variables!$A$2:$E$500, 2, FALSE)</f>
        <v>% Full Scale (5 psi)</v>
      </c>
      <c r="Y80" s="17" t="str">
        <f>VLOOKUP(G80,UnitsCV!$A$1:$D$500,4,FALSE)</f>
        <v>%</v>
      </c>
      <c r="Z80" s="17" t="str">
        <f>VLOOKUP(K80,DataTypeCV!$A$1:$C$500,2,FALSE)</f>
        <v>Minimum</v>
      </c>
      <c r="AA80" s="17" t="str">
        <f>VLOOKUP(L80,UnitsCV!$A$1:$D$500,4,FALSE)</f>
        <v>min</v>
      </c>
      <c r="AC80" s="16" t="str">
        <f t="shared" si="2"/>
        <v>39101321115101022</v>
      </c>
    </row>
    <row r="81" spans="1:29" x14ac:dyDescent="0.2">
      <c r="A81">
        <v>80</v>
      </c>
      <c r="B81">
        <v>39</v>
      </c>
      <c r="C81">
        <v>10</v>
      </c>
      <c r="E81">
        <v>13</v>
      </c>
      <c r="F81">
        <v>2</v>
      </c>
      <c r="G81">
        <v>1</v>
      </c>
      <c r="I81">
        <v>2</v>
      </c>
      <c r="J81">
        <v>15</v>
      </c>
      <c r="K81">
        <v>1</v>
      </c>
      <c r="L81">
        <v>102</v>
      </c>
      <c r="M81" s="7">
        <v>2</v>
      </c>
      <c r="T81" s="16">
        <f>VLOOKUP(B81,Deployment!$A$1:$H$500,4,FALSE)</f>
        <v>39905.631249999999</v>
      </c>
      <c r="U81" s="17" t="str">
        <f>CONCATENATE(VLOOKUP(VLOOKUP(B81,Deployment!$A$1:$H$500,2,FALSE),Logger!$A$1:$F$500,3,FALSE),"/",VLOOKUP(VLOOKUP(B81,Deployment!$A$1:$H$500,2,FALSE),Logger!$A$1:$F$500,4,FALSE),"/",VLOOKUP(VLOOKUP(B81,Deployment!$A$1:$H$500,2,FALSE),Logger!$A$1:$F$500,5,FALSE))</f>
        <v>Telog/WLS31/22095</v>
      </c>
      <c r="V81" s="17" t="str">
        <f>VLOOKUP(C81,Sites!$A$4:$B$501,2,FALSE)</f>
        <v>WELL018</v>
      </c>
      <c r="W81" s="17" t="str">
        <f>CONCATENATE(VLOOKUP(E81,Sensors!$A$1:$G$500,4,FALSE),"/",VLOOKUP(E81,Sensors!$A$1:$G$500,5,FALSE),"/",VLOOKUP(E81,Sensors!$A$1:$G$500,6,FALSE))</f>
        <v>Telog/PDCR 1830-8335 (5psi)/2037684</v>
      </c>
      <c r="X81" s="17" t="str">
        <f>VLOOKUP(F81,Variables!$A$2:$E$500, 2, FALSE)</f>
        <v>% Full Scale (5 psi)</v>
      </c>
      <c r="Y81" s="17" t="str">
        <f>VLOOKUP(G81,UnitsCV!$A$1:$D$500,4,FALSE)</f>
        <v>%</v>
      </c>
      <c r="Z81" s="17" t="str">
        <f>VLOOKUP(K81,DataTypeCV!$A$1:$C$500,2,FALSE)</f>
        <v>Average</v>
      </c>
      <c r="AA81" s="17" t="str">
        <f>VLOOKUP(L81,UnitsCV!$A$1:$D$500,4,FALSE)</f>
        <v>min</v>
      </c>
      <c r="AC81" s="16" t="str">
        <f t="shared" si="2"/>
        <v>3910132121511022</v>
      </c>
    </row>
    <row r="82" spans="1:29" x14ac:dyDescent="0.2">
      <c r="A82">
        <v>81</v>
      </c>
      <c r="B82">
        <v>39</v>
      </c>
      <c r="C82">
        <v>10</v>
      </c>
      <c r="E82">
        <v>13</v>
      </c>
      <c r="F82">
        <v>2</v>
      </c>
      <c r="G82">
        <v>1</v>
      </c>
      <c r="I82">
        <v>3</v>
      </c>
      <c r="J82">
        <v>15</v>
      </c>
      <c r="K82">
        <v>8</v>
      </c>
      <c r="L82">
        <v>102</v>
      </c>
      <c r="M82" s="7">
        <v>2</v>
      </c>
      <c r="T82" s="16">
        <f>VLOOKUP(B82,Deployment!$A$1:$H$500,4,FALSE)</f>
        <v>39905.631249999999</v>
      </c>
      <c r="U82" s="17" t="str">
        <f>CONCATENATE(VLOOKUP(VLOOKUP(B82,Deployment!$A$1:$H$500,2,FALSE),Logger!$A$1:$F$500,3,FALSE),"/",VLOOKUP(VLOOKUP(B82,Deployment!$A$1:$H$500,2,FALSE),Logger!$A$1:$F$500,4,FALSE),"/",VLOOKUP(VLOOKUP(B82,Deployment!$A$1:$H$500,2,FALSE),Logger!$A$1:$F$500,5,FALSE))</f>
        <v>Telog/WLS31/22095</v>
      </c>
      <c r="V82" s="17" t="str">
        <f>VLOOKUP(C82,Sites!$A$4:$B$501,2,FALSE)</f>
        <v>WELL018</v>
      </c>
      <c r="W82" s="17" t="str">
        <f>CONCATENATE(VLOOKUP(E82,Sensors!$A$1:$G$500,4,FALSE),"/",VLOOKUP(E82,Sensors!$A$1:$G$500,5,FALSE),"/",VLOOKUP(E82,Sensors!$A$1:$G$500,6,FALSE))</f>
        <v>Telog/PDCR 1830-8335 (5psi)/2037684</v>
      </c>
      <c r="X82" s="17" t="str">
        <f>VLOOKUP(F82,Variables!$A$2:$E$500, 2, FALSE)</f>
        <v>% Full Scale (5 psi)</v>
      </c>
      <c r="Y82" s="17" t="str">
        <f>VLOOKUP(G82,UnitsCV!$A$1:$D$500,4,FALSE)</f>
        <v>%</v>
      </c>
      <c r="Z82" s="17" t="str">
        <f>VLOOKUP(K82,DataTypeCV!$A$1:$C$500,2,FALSE)</f>
        <v>Maximum</v>
      </c>
      <c r="AA82" s="17" t="str">
        <f>VLOOKUP(L82,UnitsCV!$A$1:$D$500,4,FALSE)</f>
        <v>min</v>
      </c>
      <c r="AC82" s="16" t="str">
        <f t="shared" si="2"/>
        <v>3910132131581022</v>
      </c>
    </row>
    <row r="83" spans="1:29" x14ac:dyDescent="0.2">
      <c r="A83">
        <v>82</v>
      </c>
      <c r="B83">
        <v>40</v>
      </c>
      <c r="C83">
        <v>10</v>
      </c>
      <c r="E83">
        <v>13</v>
      </c>
      <c r="F83">
        <v>2</v>
      </c>
      <c r="G83">
        <v>1</v>
      </c>
      <c r="I83">
        <v>1</v>
      </c>
      <c r="J83">
        <v>15</v>
      </c>
      <c r="K83">
        <v>10</v>
      </c>
      <c r="L83">
        <v>102</v>
      </c>
      <c r="M83" s="7">
        <v>2</v>
      </c>
      <c r="T83" s="16">
        <f>VLOOKUP(B83,Deployment!$A$1:$H$500,4,FALSE)</f>
        <v>0</v>
      </c>
      <c r="U83" s="17" t="str">
        <f>CONCATENATE(VLOOKUP(VLOOKUP(B83,Deployment!$A$1:$H$500,2,FALSE),Logger!$A$1:$F$500,3,FALSE),"/",VLOOKUP(VLOOKUP(B83,Deployment!$A$1:$H$500,2,FALSE),Logger!$A$1:$F$500,4,FALSE),"/",VLOOKUP(VLOOKUP(B83,Deployment!$A$1:$H$500,2,FALSE),Logger!$A$1:$F$500,5,FALSE))</f>
        <v>Telog/WLS31/22095</v>
      </c>
      <c r="V83" s="17" t="str">
        <f>VLOOKUP(C83,Sites!$A$4:$B$501,2,FALSE)</f>
        <v>WELL018</v>
      </c>
      <c r="W83" s="17" t="str">
        <f>CONCATENATE(VLOOKUP(E83,Sensors!$A$1:$G$500,4,FALSE),"/",VLOOKUP(E83,Sensors!$A$1:$G$500,5,FALSE),"/",VLOOKUP(E83,Sensors!$A$1:$G$500,6,FALSE))</f>
        <v>Telog/PDCR 1830-8335 (5psi)/2037684</v>
      </c>
      <c r="X83" s="17" t="str">
        <f>VLOOKUP(F83,Variables!$A$2:$E$500, 2, FALSE)</f>
        <v>% Full Scale (5 psi)</v>
      </c>
      <c r="Y83" s="17" t="str">
        <f>VLOOKUP(G83,UnitsCV!$A$1:$D$500,4,FALSE)</f>
        <v>%</v>
      </c>
      <c r="Z83" s="17" t="str">
        <f>VLOOKUP(K83,DataTypeCV!$A$1:$C$500,2,FALSE)</f>
        <v>Minimum</v>
      </c>
      <c r="AA83" s="17" t="str">
        <f>VLOOKUP(L83,UnitsCV!$A$1:$D$500,4,FALSE)</f>
        <v>min</v>
      </c>
      <c r="AC83" s="16" t="str">
        <f t="shared" si="2"/>
        <v>40101321115101022</v>
      </c>
    </row>
    <row r="84" spans="1:29" x14ac:dyDescent="0.2">
      <c r="A84">
        <v>83</v>
      </c>
      <c r="B84">
        <v>40</v>
      </c>
      <c r="C84">
        <v>10</v>
      </c>
      <c r="E84">
        <v>13</v>
      </c>
      <c r="F84">
        <v>2</v>
      </c>
      <c r="G84">
        <v>1</v>
      </c>
      <c r="I84">
        <v>2</v>
      </c>
      <c r="J84">
        <v>15</v>
      </c>
      <c r="K84">
        <v>1</v>
      </c>
      <c r="L84">
        <v>102</v>
      </c>
      <c r="M84" s="7">
        <v>2</v>
      </c>
      <c r="T84" s="16">
        <f>VLOOKUP(B84,Deployment!$A$1:$H$500,4,FALSE)</f>
        <v>0</v>
      </c>
      <c r="U84" s="17" t="str">
        <f>CONCATENATE(VLOOKUP(VLOOKUP(B84,Deployment!$A$1:$H$500,2,FALSE),Logger!$A$1:$F$500,3,FALSE),"/",VLOOKUP(VLOOKUP(B84,Deployment!$A$1:$H$500,2,FALSE),Logger!$A$1:$F$500,4,FALSE),"/",VLOOKUP(VLOOKUP(B84,Deployment!$A$1:$H$500,2,FALSE),Logger!$A$1:$F$500,5,FALSE))</f>
        <v>Telog/WLS31/22095</v>
      </c>
      <c r="V84" s="17" t="str">
        <f>VLOOKUP(C84,Sites!$A$4:$B$501,2,FALSE)</f>
        <v>WELL018</v>
      </c>
      <c r="W84" s="17" t="str">
        <f>CONCATENATE(VLOOKUP(E84,Sensors!$A$1:$G$500,4,FALSE),"/",VLOOKUP(E84,Sensors!$A$1:$G$500,5,FALSE),"/",VLOOKUP(E84,Sensors!$A$1:$G$500,6,FALSE))</f>
        <v>Telog/PDCR 1830-8335 (5psi)/2037684</v>
      </c>
      <c r="X84" s="17" t="str">
        <f>VLOOKUP(F84,Variables!$A$2:$E$500, 2, FALSE)</f>
        <v>% Full Scale (5 psi)</v>
      </c>
      <c r="Y84" s="17" t="str">
        <f>VLOOKUP(G84,UnitsCV!$A$1:$D$500,4,FALSE)</f>
        <v>%</v>
      </c>
      <c r="Z84" s="17" t="str">
        <f>VLOOKUP(K84,DataTypeCV!$A$1:$C$500,2,FALSE)</f>
        <v>Average</v>
      </c>
      <c r="AA84" s="17" t="str">
        <f>VLOOKUP(L84,UnitsCV!$A$1:$D$500,4,FALSE)</f>
        <v>min</v>
      </c>
      <c r="AC84" s="16" t="str">
        <f t="shared" si="2"/>
        <v>4010132121511022</v>
      </c>
    </row>
    <row r="85" spans="1:29" x14ac:dyDescent="0.2">
      <c r="A85">
        <v>84</v>
      </c>
      <c r="B85">
        <v>40</v>
      </c>
      <c r="C85">
        <v>10</v>
      </c>
      <c r="E85">
        <v>13</v>
      </c>
      <c r="F85">
        <v>2</v>
      </c>
      <c r="G85">
        <v>1</v>
      </c>
      <c r="I85">
        <v>3</v>
      </c>
      <c r="J85">
        <v>15</v>
      </c>
      <c r="K85">
        <v>8</v>
      </c>
      <c r="L85">
        <v>102</v>
      </c>
      <c r="M85" s="7">
        <v>2</v>
      </c>
      <c r="T85" s="16">
        <f>VLOOKUP(B85,Deployment!$A$1:$H$500,4,FALSE)</f>
        <v>0</v>
      </c>
      <c r="U85" s="17" t="str">
        <f>CONCATENATE(VLOOKUP(VLOOKUP(B85,Deployment!$A$1:$H$500,2,FALSE),Logger!$A$1:$F$500,3,FALSE),"/",VLOOKUP(VLOOKUP(B85,Deployment!$A$1:$H$500,2,FALSE),Logger!$A$1:$F$500,4,FALSE),"/",VLOOKUP(VLOOKUP(B85,Deployment!$A$1:$H$500,2,FALSE),Logger!$A$1:$F$500,5,FALSE))</f>
        <v>Telog/WLS31/22095</v>
      </c>
      <c r="V85" s="17" t="str">
        <f>VLOOKUP(C85,Sites!$A$4:$B$501,2,FALSE)</f>
        <v>WELL018</v>
      </c>
      <c r="W85" s="17" t="str">
        <f>CONCATENATE(VLOOKUP(E85,Sensors!$A$1:$G$500,4,FALSE),"/",VLOOKUP(E85,Sensors!$A$1:$G$500,5,FALSE),"/",VLOOKUP(E85,Sensors!$A$1:$G$500,6,FALSE))</f>
        <v>Telog/PDCR 1830-8335 (5psi)/2037684</v>
      </c>
      <c r="X85" s="17" t="str">
        <f>VLOOKUP(F85,Variables!$A$2:$E$500, 2, FALSE)</f>
        <v>% Full Scale (5 psi)</v>
      </c>
      <c r="Y85" s="17" t="str">
        <f>VLOOKUP(G85,UnitsCV!$A$1:$D$500,4,FALSE)</f>
        <v>%</v>
      </c>
      <c r="Z85" s="17" t="str">
        <f>VLOOKUP(K85,DataTypeCV!$A$1:$C$500,2,FALSE)</f>
        <v>Maximum</v>
      </c>
      <c r="AA85" s="17" t="str">
        <f>VLOOKUP(L85,UnitsCV!$A$1:$D$500,4,FALSE)</f>
        <v>min</v>
      </c>
      <c r="AC85" s="16" t="str">
        <f t="shared" si="2"/>
        <v>4010132131581022</v>
      </c>
    </row>
    <row r="86" spans="1:29" x14ac:dyDescent="0.2">
      <c r="A86">
        <v>85</v>
      </c>
      <c r="B86">
        <v>41</v>
      </c>
      <c r="C86">
        <v>10</v>
      </c>
      <c r="E86">
        <v>13</v>
      </c>
      <c r="F86">
        <v>2</v>
      </c>
      <c r="G86">
        <v>1</v>
      </c>
      <c r="I86">
        <v>1</v>
      </c>
      <c r="J86">
        <v>5</v>
      </c>
      <c r="K86">
        <v>10</v>
      </c>
      <c r="L86">
        <v>102</v>
      </c>
      <c r="M86" s="7">
        <v>2</v>
      </c>
      <c r="T86" s="16">
        <f>VLOOKUP(B86,Deployment!$A$1:$H$500,4,FALSE)</f>
        <v>40620.668055555558</v>
      </c>
      <c r="U86" s="17" t="str">
        <f>CONCATENATE(VLOOKUP(VLOOKUP(B86,Deployment!$A$1:$H$500,2,FALSE),Logger!$A$1:$F$500,3,FALSE),"/",VLOOKUP(VLOOKUP(B86,Deployment!$A$1:$H$500,2,FALSE),Logger!$A$1:$F$500,4,FALSE),"/",VLOOKUP(VLOOKUP(B86,Deployment!$A$1:$H$500,2,FALSE),Logger!$A$1:$F$500,5,FALSE))</f>
        <v>Telog/WLS31/22095</v>
      </c>
      <c r="V86" s="17" t="str">
        <f>VLOOKUP(C86,Sites!$A$4:$B$501,2,FALSE)</f>
        <v>WELL018</v>
      </c>
      <c r="W86" s="17" t="str">
        <f>CONCATENATE(VLOOKUP(E86,Sensors!$A$1:$G$500,4,FALSE),"/",VLOOKUP(E86,Sensors!$A$1:$G$500,5,FALSE),"/",VLOOKUP(E86,Sensors!$A$1:$G$500,6,FALSE))</f>
        <v>Telog/PDCR 1830-8335 (5psi)/2037684</v>
      </c>
      <c r="X86" s="17" t="str">
        <f>VLOOKUP(F86,Variables!$A$2:$E$500, 2, FALSE)</f>
        <v>% Full Scale (5 psi)</v>
      </c>
      <c r="Y86" s="17" t="str">
        <f>VLOOKUP(G86,UnitsCV!$A$1:$D$500,4,FALSE)</f>
        <v>%</v>
      </c>
      <c r="Z86" s="17" t="str">
        <f>VLOOKUP(K86,DataTypeCV!$A$1:$C$500,2,FALSE)</f>
        <v>Minimum</v>
      </c>
      <c r="AA86" s="17" t="str">
        <f>VLOOKUP(L86,UnitsCV!$A$1:$D$500,4,FALSE)</f>
        <v>min</v>
      </c>
      <c r="AC86" s="16" t="str">
        <f t="shared" si="2"/>
        <v>4110132115101022</v>
      </c>
    </row>
    <row r="87" spans="1:29" x14ac:dyDescent="0.2">
      <c r="A87">
        <v>86</v>
      </c>
      <c r="B87">
        <v>41</v>
      </c>
      <c r="C87">
        <v>10</v>
      </c>
      <c r="E87">
        <v>13</v>
      </c>
      <c r="F87">
        <v>2</v>
      </c>
      <c r="G87">
        <v>1</v>
      </c>
      <c r="I87">
        <v>2</v>
      </c>
      <c r="J87">
        <v>5</v>
      </c>
      <c r="K87">
        <v>1</v>
      </c>
      <c r="L87">
        <v>102</v>
      </c>
      <c r="M87" s="7">
        <v>2</v>
      </c>
      <c r="T87" s="16">
        <f>VLOOKUP(B87,Deployment!$A$1:$H$500,4,FALSE)</f>
        <v>40620.668055555558</v>
      </c>
      <c r="U87" s="17" t="str">
        <f>CONCATENATE(VLOOKUP(VLOOKUP(B87,Deployment!$A$1:$H$500,2,FALSE),Logger!$A$1:$F$500,3,FALSE),"/",VLOOKUP(VLOOKUP(B87,Deployment!$A$1:$H$500,2,FALSE),Logger!$A$1:$F$500,4,FALSE),"/",VLOOKUP(VLOOKUP(B87,Deployment!$A$1:$H$500,2,FALSE),Logger!$A$1:$F$500,5,FALSE))</f>
        <v>Telog/WLS31/22095</v>
      </c>
      <c r="V87" s="17" t="str">
        <f>VLOOKUP(C87,Sites!$A$4:$B$501,2,FALSE)</f>
        <v>WELL018</v>
      </c>
      <c r="W87" s="17" t="str">
        <f>CONCATENATE(VLOOKUP(E87,Sensors!$A$1:$G$500,4,FALSE),"/",VLOOKUP(E87,Sensors!$A$1:$G$500,5,FALSE),"/",VLOOKUP(E87,Sensors!$A$1:$G$500,6,FALSE))</f>
        <v>Telog/PDCR 1830-8335 (5psi)/2037684</v>
      </c>
      <c r="X87" s="17" t="str">
        <f>VLOOKUP(F87,Variables!$A$2:$E$500, 2, FALSE)</f>
        <v>% Full Scale (5 psi)</v>
      </c>
      <c r="Y87" s="17" t="str">
        <f>VLOOKUP(G87,UnitsCV!$A$1:$D$500,4,FALSE)</f>
        <v>%</v>
      </c>
      <c r="Z87" s="17" t="str">
        <f>VLOOKUP(K87,DataTypeCV!$A$1:$C$500,2,FALSE)</f>
        <v>Average</v>
      </c>
      <c r="AA87" s="17" t="str">
        <f>VLOOKUP(L87,UnitsCV!$A$1:$D$500,4,FALSE)</f>
        <v>min</v>
      </c>
      <c r="AC87" s="16" t="str">
        <f t="shared" si="2"/>
        <v>411013212511022</v>
      </c>
    </row>
    <row r="88" spans="1:29" x14ac:dyDescent="0.2">
      <c r="A88">
        <v>87</v>
      </c>
      <c r="B88">
        <v>41</v>
      </c>
      <c r="C88">
        <v>10</v>
      </c>
      <c r="E88">
        <v>13</v>
      </c>
      <c r="F88">
        <v>2</v>
      </c>
      <c r="G88">
        <v>1</v>
      </c>
      <c r="I88">
        <v>3</v>
      </c>
      <c r="J88">
        <v>5</v>
      </c>
      <c r="K88">
        <v>8</v>
      </c>
      <c r="L88">
        <v>102</v>
      </c>
      <c r="M88" s="7">
        <v>2</v>
      </c>
      <c r="T88" s="16">
        <f>VLOOKUP(B88,Deployment!$A$1:$H$500,4,FALSE)</f>
        <v>40620.668055555558</v>
      </c>
      <c r="U88" s="17" t="str">
        <f>CONCATENATE(VLOOKUP(VLOOKUP(B88,Deployment!$A$1:$H$500,2,FALSE),Logger!$A$1:$F$500,3,FALSE),"/",VLOOKUP(VLOOKUP(B88,Deployment!$A$1:$H$500,2,FALSE),Logger!$A$1:$F$500,4,FALSE),"/",VLOOKUP(VLOOKUP(B88,Deployment!$A$1:$H$500,2,FALSE),Logger!$A$1:$F$500,5,FALSE))</f>
        <v>Telog/WLS31/22095</v>
      </c>
      <c r="V88" s="17" t="str">
        <f>VLOOKUP(C88,Sites!$A$4:$B$501,2,FALSE)</f>
        <v>WELL018</v>
      </c>
      <c r="W88" s="17" t="str">
        <f>CONCATENATE(VLOOKUP(E88,Sensors!$A$1:$G$500,4,FALSE),"/",VLOOKUP(E88,Sensors!$A$1:$G$500,5,FALSE),"/",VLOOKUP(E88,Sensors!$A$1:$G$500,6,FALSE))</f>
        <v>Telog/PDCR 1830-8335 (5psi)/2037684</v>
      </c>
      <c r="X88" s="17" t="str">
        <f>VLOOKUP(F88,Variables!$A$2:$E$500, 2, FALSE)</f>
        <v>% Full Scale (5 psi)</v>
      </c>
      <c r="Y88" s="17" t="str">
        <f>VLOOKUP(G88,UnitsCV!$A$1:$D$500,4,FALSE)</f>
        <v>%</v>
      </c>
      <c r="Z88" s="17" t="str">
        <f>VLOOKUP(K88,DataTypeCV!$A$1:$C$500,2,FALSE)</f>
        <v>Maximum</v>
      </c>
      <c r="AA88" s="17" t="str">
        <f>VLOOKUP(L88,UnitsCV!$A$1:$D$500,4,FALSE)</f>
        <v>min</v>
      </c>
      <c r="AC88" s="16" t="str">
        <f t="shared" si="2"/>
        <v>411013213581022</v>
      </c>
    </row>
    <row r="89" spans="1:29" x14ac:dyDescent="0.2">
      <c r="A89">
        <v>88</v>
      </c>
      <c r="B89">
        <v>42</v>
      </c>
      <c r="C89">
        <v>9</v>
      </c>
      <c r="E89">
        <v>14</v>
      </c>
      <c r="F89">
        <v>2</v>
      </c>
      <c r="G89">
        <v>1</v>
      </c>
      <c r="I89">
        <v>1</v>
      </c>
      <c r="J89">
        <v>15</v>
      </c>
      <c r="K89">
        <v>10</v>
      </c>
      <c r="L89">
        <v>102</v>
      </c>
      <c r="M89" s="7">
        <v>2</v>
      </c>
      <c r="T89" s="16">
        <f>VLOOKUP(B89,Deployment!$A$1:$H$500,4,FALSE)</f>
        <v>40366.465277777781</v>
      </c>
      <c r="U89" s="17" t="str">
        <f>CONCATENATE(VLOOKUP(VLOOKUP(B89,Deployment!$A$1:$H$500,2,FALSE),Logger!$A$1:$F$500,3,FALSE),"/",VLOOKUP(VLOOKUP(B89,Deployment!$A$1:$H$500,2,FALSE),Logger!$A$1:$F$500,4,FALSE),"/",VLOOKUP(VLOOKUP(B89,Deployment!$A$1:$H$500,2,FALSE),Logger!$A$1:$F$500,5,FALSE))</f>
        <v>Telog/WLS31/22099</v>
      </c>
      <c r="V89" s="17" t="str">
        <f>VLOOKUP(C89,Sites!$A$4:$B$501,2,FALSE)</f>
        <v>WELL014</v>
      </c>
      <c r="W89" s="17" t="str">
        <f>CONCATENATE(VLOOKUP(E89,Sensors!$A$1:$G$500,4,FALSE),"/",VLOOKUP(E89,Sensors!$A$1:$G$500,5,FALSE),"/",VLOOKUP(E89,Sensors!$A$1:$G$500,6,FALSE))</f>
        <v>Telog/PDCR 1830-8335 (5psi)/2037685</v>
      </c>
      <c r="X89" s="17" t="str">
        <f>VLOOKUP(F89,Variables!$A$2:$E$500, 2, FALSE)</f>
        <v>% Full Scale (5 psi)</v>
      </c>
      <c r="Y89" s="17" t="str">
        <f>VLOOKUP(G89,UnitsCV!$A$1:$D$500,4,FALSE)</f>
        <v>%</v>
      </c>
      <c r="Z89" s="17" t="str">
        <f>VLOOKUP(K89,DataTypeCV!$A$1:$C$500,2,FALSE)</f>
        <v>Minimum</v>
      </c>
      <c r="AA89" s="17" t="str">
        <f>VLOOKUP(L89,UnitsCV!$A$1:$D$500,4,FALSE)</f>
        <v>min</v>
      </c>
      <c r="AC89" s="16" t="str">
        <f t="shared" si="2"/>
        <v>4291421115101022</v>
      </c>
    </row>
    <row r="90" spans="1:29" x14ac:dyDescent="0.2">
      <c r="A90">
        <v>89</v>
      </c>
      <c r="B90">
        <v>42</v>
      </c>
      <c r="C90">
        <v>9</v>
      </c>
      <c r="E90">
        <v>14</v>
      </c>
      <c r="F90">
        <v>2</v>
      </c>
      <c r="G90">
        <v>1</v>
      </c>
      <c r="I90">
        <v>2</v>
      </c>
      <c r="J90">
        <v>15</v>
      </c>
      <c r="K90">
        <v>1</v>
      </c>
      <c r="L90">
        <v>102</v>
      </c>
      <c r="M90" s="7">
        <v>2</v>
      </c>
      <c r="T90" s="16">
        <f>VLOOKUP(B90,Deployment!$A$1:$H$500,4,FALSE)</f>
        <v>40366.465277777781</v>
      </c>
      <c r="U90" s="17" t="str">
        <f>CONCATENATE(VLOOKUP(VLOOKUP(B90,Deployment!$A$1:$H$500,2,FALSE),Logger!$A$1:$F$500,3,FALSE),"/",VLOOKUP(VLOOKUP(B90,Deployment!$A$1:$H$500,2,FALSE),Logger!$A$1:$F$500,4,FALSE),"/",VLOOKUP(VLOOKUP(B90,Deployment!$A$1:$H$500,2,FALSE),Logger!$A$1:$F$500,5,FALSE))</f>
        <v>Telog/WLS31/22099</v>
      </c>
      <c r="V90" s="17" t="str">
        <f>VLOOKUP(C90,Sites!$A$4:$B$501,2,FALSE)</f>
        <v>WELL014</v>
      </c>
      <c r="W90" s="17" t="str">
        <f>CONCATENATE(VLOOKUP(E90,Sensors!$A$1:$G$500,4,FALSE),"/",VLOOKUP(E90,Sensors!$A$1:$G$500,5,FALSE),"/",VLOOKUP(E90,Sensors!$A$1:$G$500,6,FALSE))</f>
        <v>Telog/PDCR 1830-8335 (5psi)/2037685</v>
      </c>
      <c r="X90" s="17" t="str">
        <f>VLOOKUP(F90,Variables!$A$2:$E$500, 2, FALSE)</f>
        <v>% Full Scale (5 psi)</v>
      </c>
      <c r="Y90" s="17" t="str">
        <f>VLOOKUP(G90,UnitsCV!$A$1:$D$500,4,FALSE)</f>
        <v>%</v>
      </c>
      <c r="Z90" s="17" t="str">
        <f>VLOOKUP(K90,DataTypeCV!$A$1:$C$500,2,FALSE)</f>
        <v>Average</v>
      </c>
      <c r="AA90" s="17" t="str">
        <f>VLOOKUP(L90,UnitsCV!$A$1:$D$500,4,FALSE)</f>
        <v>min</v>
      </c>
      <c r="AC90" s="16" t="str">
        <f t="shared" si="2"/>
        <v>429142121511022</v>
      </c>
    </row>
    <row r="91" spans="1:29" x14ac:dyDescent="0.2">
      <c r="A91">
        <v>90</v>
      </c>
      <c r="B91">
        <v>42</v>
      </c>
      <c r="C91">
        <v>9</v>
      </c>
      <c r="E91">
        <v>14</v>
      </c>
      <c r="F91">
        <v>2</v>
      </c>
      <c r="G91">
        <v>1</v>
      </c>
      <c r="I91">
        <v>3</v>
      </c>
      <c r="J91">
        <v>15</v>
      </c>
      <c r="K91">
        <v>8</v>
      </c>
      <c r="L91">
        <v>102</v>
      </c>
      <c r="M91" s="7">
        <v>2</v>
      </c>
      <c r="T91" s="16">
        <f>VLOOKUP(B91,Deployment!$A$1:$H$500,4,FALSE)</f>
        <v>40366.465277777781</v>
      </c>
      <c r="U91" s="17" t="str">
        <f>CONCATENATE(VLOOKUP(VLOOKUP(B91,Deployment!$A$1:$H$500,2,FALSE),Logger!$A$1:$F$500,3,FALSE),"/",VLOOKUP(VLOOKUP(B91,Deployment!$A$1:$H$500,2,FALSE),Logger!$A$1:$F$500,4,FALSE),"/",VLOOKUP(VLOOKUP(B91,Deployment!$A$1:$H$500,2,FALSE),Logger!$A$1:$F$500,5,FALSE))</f>
        <v>Telog/WLS31/22099</v>
      </c>
      <c r="V91" s="17" t="str">
        <f>VLOOKUP(C91,Sites!$A$4:$B$501,2,FALSE)</f>
        <v>WELL014</v>
      </c>
      <c r="W91" s="17" t="str">
        <f>CONCATENATE(VLOOKUP(E91,Sensors!$A$1:$G$500,4,FALSE),"/",VLOOKUP(E91,Sensors!$A$1:$G$500,5,FALSE),"/",VLOOKUP(E91,Sensors!$A$1:$G$500,6,FALSE))</f>
        <v>Telog/PDCR 1830-8335 (5psi)/2037685</v>
      </c>
      <c r="X91" s="17" t="str">
        <f>VLOOKUP(F91,Variables!$A$2:$E$500, 2, FALSE)</f>
        <v>% Full Scale (5 psi)</v>
      </c>
      <c r="Y91" s="17" t="str">
        <f>VLOOKUP(G91,UnitsCV!$A$1:$D$500,4,FALSE)</f>
        <v>%</v>
      </c>
      <c r="Z91" s="17" t="str">
        <f>VLOOKUP(K91,DataTypeCV!$A$1:$C$500,2,FALSE)</f>
        <v>Maximum</v>
      </c>
      <c r="AA91" s="17" t="str">
        <f>VLOOKUP(L91,UnitsCV!$A$1:$D$500,4,FALSE)</f>
        <v>min</v>
      </c>
      <c r="AC91" s="16" t="str">
        <f t="shared" si="2"/>
        <v>429142131581022</v>
      </c>
    </row>
    <row r="92" spans="1:29" x14ac:dyDescent="0.2">
      <c r="A92">
        <v>91</v>
      </c>
      <c r="B92">
        <v>43</v>
      </c>
      <c r="C92">
        <v>9</v>
      </c>
      <c r="E92">
        <v>14</v>
      </c>
      <c r="F92">
        <v>2</v>
      </c>
      <c r="G92">
        <v>1</v>
      </c>
      <c r="I92">
        <v>1</v>
      </c>
      <c r="J92">
        <v>15</v>
      </c>
      <c r="K92">
        <v>10</v>
      </c>
      <c r="L92">
        <v>102</v>
      </c>
      <c r="M92" s="7">
        <v>2</v>
      </c>
      <c r="T92" s="16">
        <f>VLOOKUP(B92,Deployment!$A$1:$H$500,4,FALSE)</f>
        <v>40500.588888888888</v>
      </c>
      <c r="U92" s="17" t="str">
        <f>CONCATENATE(VLOOKUP(VLOOKUP(B92,Deployment!$A$1:$H$500,2,FALSE),Logger!$A$1:$F$500,3,FALSE),"/",VLOOKUP(VLOOKUP(B92,Deployment!$A$1:$H$500,2,FALSE),Logger!$A$1:$F$500,4,FALSE),"/",VLOOKUP(VLOOKUP(B92,Deployment!$A$1:$H$500,2,FALSE),Logger!$A$1:$F$500,5,FALSE))</f>
        <v>Telog/WLS31/22099</v>
      </c>
      <c r="V92" s="17" t="str">
        <f>VLOOKUP(C92,Sites!$A$4:$B$501,2,FALSE)</f>
        <v>WELL014</v>
      </c>
      <c r="W92" s="17" t="str">
        <f>CONCATENATE(VLOOKUP(E92,Sensors!$A$1:$G$500,4,FALSE),"/",VLOOKUP(E92,Sensors!$A$1:$G$500,5,FALSE),"/",VLOOKUP(E92,Sensors!$A$1:$G$500,6,FALSE))</f>
        <v>Telog/PDCR 1830-8335 (5psi)/2037685</v>
      </c>
      <c r="X92" s="17" t="str">
        <f>VLOOKUP(F92,Variables!$A$2:$E$500, 2, FALSE)</f>
        <v>% Full Scale (5 psi)</v>
      </c>
      <c r="Y92" s="17" t="str">
        <f>VLOOKUP(G92,UnitsCV!$A$1:$D$500,4,FALSE)</f>
        <v>%</v>
      </c>
      <c r="Z92" s="17" t="str">
        <f>VLOOKUP(K92,DataTypeCV!$A$1:$C$500,2,FALSE)</f>
        <v>Minimum</v>
      </c>
      <c r="AA92" s="17" t="str">
        <f>VLOOKUP(L92,UnitsCV!$A$1:$D$500,4,FALSE)</f>
        <v>min</v>
      </c>
      <c r="AC92" s="16" t="str">
        <f t="shared" si="2"/>
        <v>4391421115101022</v>
      </c>
    </row>
    <row r="93" spans="1:29" x14ac:dyDescent="0.2">
      <c r="A93">
        <v>92</v>
      </c>
      <c r="B93">
        <v>43</v>
      </c>
      <c r="C93">
        <v>9</v>
      </c>
      <c r="E93">
        <v>14</v>
      </c>
      <c r="F93">
        <v>2</v>
      </c>
      <c r="G93">
        <v>1</v>
      </c>
      <c r="I93">
        <v>2</v>
      </c>
      <c r="J93">
        <v>15</v>
      </c>
      <c r="K93">
        <v>1</v>
      </c>
      <c r="L93">
        <v>102</v>
      </c>
      <c r="M93" s="7">
        <v>2</v>
      </c>
      <c r="T93" s="16">
        <f>VLOOKUP(B93,Deployment!$A$1:$H$500,4,FALSE)</f>
        <v>40500.588888888888</v>
      </c>
      <c r="U93" s="17" t="str">
        <f>CONCATENATE(VLOOKUP(VLOOKUP(B93,Deployment!$A$1:$H$500,2,FALSE),Logger!$A$1:$F$500,3,FALSE),"/",VLOOKUP(VLOOKUP(B93,Deployment!$A$1:$H$500,2,FALSE),Logger!$A$1:$F$500,4,FALSE),"/",VLOOKUP(VLOOKUP(B93,Deployment!$A$1:$H$500,2,FALSE),Logger!$A$1:$F$500,5,FALSE))</f>
        <v>Telog/WLS31/22099</v>
      </c>
      <c r="V93" s="17" t="str">
        <f>VLOOKUP(C93,Sites!$A$4:$B$501,2,FALSE)</f>
        <v>WELL014</v>
      </c>
      <c r="W93" s="17" t="str">
        <f>CONCATENATE(VLOOKUP(E93,Sensors!$A$1:$G$500,4,FALSE),"/",VLOOKUP(E93,Sensors!$A$1:$G$500,5,FALSE),"/",VLOOKUP(E93,Sensors!$A$1:$G$500,6,FALSE))</f>
        <v>Telog/PDCR 1830-8335 (5psi)/2037685</v>
      </c>
      <c r="X93" s="17" t="str">
        <f>VLOOKUP(F93,Variables!$A$2:$E$500, 2, FALSE)</f>
        <v>% Full Scale (5 psi)</v>
      </c>
      <c r="Y93" s="17" t="str">
        <f>VLOOKUP(G93,UnitsCV!$A$1:$D$500,4,FALSE)</f>
        <v>%</v>
      </c>
      <c r="Z93" s="17" t="str">
        <f>VLOOKUP(K93,DataTypeCV!$A$1:$C$500,2,FALSE)</f>
        <v>Average</v>
      </c>
      <c r="AA93" s="17" t="str">
        <f>VLOOKUP(L93,UnitsCV!$A$1:$D$500,4,FALSE)</f>
        <v>min</v>
      </c>
      <c r="AC93" s="16" t="str">
        <f t="shared" si="2"/>
        <v>439142121511022</v>
      </c>
    </row>
    <row r="94" spans="1:29" x14ac:dyDescent="0.2">
      <c r="A94">
        <v>93</v>
      </c>
      <c r="B94">
        <v>43</v>
      </c>
      <c r="C94">
        <v>9</v>
      </c>
      <c r="E94">
        <v>14</v>
      </c>
      <c r="F94">
        <v>2</v>
      </c>
      <c r="G94">
        <v>1</v>
      </c>
      <c r="I94">
        <v>3</v>
      </c>
      <c r="J94">
        <v>15</v>
      </c>
      <c r="K94">
        <v>8</v>
      </c>
      <c r="L94">
        <v>102</v>
      </c>
      <c r="M94" s="7">
        <v>2</v>
      </c>
      <c r="T94" s="16">
        <f>VLOOKUP(B94,Deployment!$A$1:$H$500,4,FALSE)</f>
        <v>40500.588888888888</v>
      </c>
      <c r="U94" s="17" t="str">
        <f>CONCATENATE(VLOOKUP(VLOOKUP(B94,Deployment!$A$1:$H$500,2,FALSE),Logger!$A$1:$F$500,3,FALSE),"/",VLOOKUP(VLOOKUP(B94,Deployment!$A$1:$H$500,2,FALSE),Logger!$A$1:$F$500,4,FALSE),"/",VLOOKUP(VLOOKUP(B94,Deployment!$A$1:$H$500,2,FALSE),Logger!$A$1:$F$500,5,FALSE))</f>
        <v>Telog/WLS31/22099</v>
      </c>
      <c r="V94" s="17" t="str">
        <f>VLOOKUP(C94,Sites!$A$4:$B$501,2,FALSE)</f>
        <v>WELL014</v>
      </c>
      <c r="W94" s="17" t="str">
        <f>CONCATENATE(VLOOKUP(E94,Sensors!$A$1:$G$500,4,FALSE),"/",VLOOKUP(E94,Sensors!$A$1:$G$500,5,FALSE),"/",VLOOKUP(E94,Sensors!$A$1:$G$500,6,FALSE))</f>
        <v>Telog/PDCR 1830-8335 (5psi)/2037685</v>
      </c>
      <c r="X94" s="17" t="str">
        <f>VLOOKUP(F94,Variables!$A$2:$E$500, 2, FALSE)</f>
        <v>% Full Scale (5 psi)</v>
      </c>
      <c r="Y94" s="17" t="str">
        <f>VLOOKUP(G94,UnitsCV!$A$1:$D$500,4,FALSE)</f>
        <v>%</v>
      </c>
      <c r="Z94" s="17" t="str">
        <f>VLOOKUP(K94,DataTypeCV!$A$1:$C$500,2,FALSE)</f>
        <v>Maximum</v>
      </c>
      <c r="AA94" s="17" t="str">
        <f>VLOOKUP(L94,UnitsCV!$A$1:$D$500,4,FALSE)</f>
        <v>min</v>
      </c>
      <c r="AC94" s="16" t="str">
        <f t="shared" si="2"/>
        <v>439142131581022</v>
      </c>
    </row>
    <row r="95" spans="1:29" x14ac:dyDescent="0.2">
      <c r="A95">
        <v>94</v>
      </c>
      <c r="B95">
        <v>44</v>
      </c>
      <c r="C95">
        <v>9</v>
      </c>
      <c r="E95">
        <v>14</v>
      </c>
      <c r="F95">
        <v>2</v>
      </c>
      <c r="G95">
        <v>1</v>
      </c>
      <c r="I95">
        <v>1</v>
      </c>
      <c r="J95">
        <v>5</v>
      </c>
      <c r="K95">
        <v>10</v>
      </c>
      <c r="L95">
        <v>102</v>
      </c>
      <c r="M95" s="7">
        <v>2</v>
      </c>
      <c r="T95" s="16">
        <f>VLOOKUP(B95,Deployment!$A$1:$H$500,4,FALSE)</f>
        <v>40620.647916666669</v>
      </c>
      <c r="U95" s="17" t="str">
        <f>CONCATENATE(VLOOKUP(VLOOKUP(B95,Deployment!$A$1:$H$500,2,FALSE),Logger!$A$1:$F$500,3,FALSE),"/",VLOOKUP(VLOOKUP(B95,Deployment!$A$1:$H$500,2,FALSE),Logger!$A$1:$F$500,4,FALSE),"/",VLOOKUP(VLOOKUP(B95,Deployment!$A$1:$H$500,2,FALSE),Logger!$A$1:$F$500,5,FALSE))</f>
        <v>Telog/WLS31/22099</v>
      </c>
      <c r="V95" s="17" t="str">
        <f>VLOOKUP(C95,Sites!$A$4:$B$501,2,FALSE)</f>
        <v>WELL014</v>
      </c>
      <c r="W95" s="17" t="str">
        <f>CONCATENATE(VLOOKUP(E95,Sensors!$A$1:$G$500,4,FALSE),"/",VLOOKUP(E95,Sensors!$A$1:$G$500,5,FALSE),"/",VLOOKUP(E95,Sensors!$A$1:$G$500,6,FALSE))</f>
        <v>Telog/PDCR 1830-8335 (5psi)/2037685</v>
      </c>
      <c r="X95" s="17" t="str">
        <f>VLOOKUP(F95,Variables!$A$2:$E$500, 2, FALSE)</f>
        <v>% Full Scale (5 psi)</v>
      </c>
      <c r="Y95" s="17" t="str">
        <f>VLOOKUP(G95,UnitsCV!$A$1:$D$500,4,FALSE)</f>
        <v>%</v>
      </c>
      <c r="Z95" s="17" t="str">
        <f>VLOOKUP(K95,DataTypeCV!$A$1:$C$500,2,FALSE)</f>
        <v>Minimum</v>
      </c>
      <c r="AA95" s="17" t="str">
        <f>VLOOKUP(L95,UnitsCV!$A$1:$D$500,4,FALSE)</f>
        <v>min</v>
      </c>
      <c r="AC95" s="16" t="str">
        <f t="shared" si="2"/>
        <v>449142115101022</v>
      </c>
    </row>
    <row r="96" spans="1:29" x14ac:dyDescent="0.2">
      <c r="A96">
        <v>95</v>
      </c>
      <c r="B96">
        <v>44</v>
      </c>
      <c r="C96">
        <v>9</v>
      </c>
      <c r="E96">
        <v>14</v>
      </c>
      <c r="F96">
        <v>2</v>
      </c>
      <c r="G96">
        <v>1</v>
      </c>
      <c r="I96">
        <v>2</v>
      </c>
      <c r="J96">
        <v>5</v>
      </c>
      <c r="K96">
        <v>1</v>
      </c>
      <c r="L96">
        <v>102</v>
      </c>
      <c r="M96" s="7">
        <v>2</v>
      </c>
      <c r="T96" s="16">
        <f>VLOOKUP(B96,Deployment!$A$1:$H$500,4,FALSE)</f>
        <v>40620.647916666669</v>
      </c>
      <c r="U96" s="17" t="str">
        <f>CONCATENATE(VLOOKUP(VLOOKUP(B96,Deployment!$A$1:$H$500,2,FALSE),Logger!$A$1:$F$500,3,FALSE),"/",VLOOKUP(VLOOKUP(B96,Deployment!$A$1:$H$500,2,FALSE),Logger!$A$1:$F$500,4,FALSE),"/",VLOOKUP(VLOOKUP(B96,Deployment!$A$1:$H$500,2,FALSE),Logger!$A$1:$F$500,5,FALSE))</f>
        <v>Telog/WLS31/22099</v>
      </c>
      <c r="V96" s="17" t="str">
        <f>VLOOKUP(C96,Sites!$A$4:$B$501,2,FALSE)</f>
        <v>WELL014</v>
      </c>
      <c r="W96" s="17" t="str">
        <f>CONCATENATE(VLOOKUP(E96,Sensors!$A$1:$G$500,4,FALSE),"/",VLOOKUP(E96,Sensors!$A$1:$G$500,5,FALSE),"/",VLOOKUP(E96,Sensors!$A$1:$G$500,6,FALSE))</f>
        <v>Telog/PDCR 1830-8335 (5psi)/2037685</v>
      </c>
      <c r="X96" s="17" t="str">
        <f>VLOOKUP(F96,Variables!$A$2:$E$500, 2, FALSE)</f>
        <v>% Full Scale (5 psi)</v>
      </c>
      <c r="Y96" s="17" t="str">
        <f>VLOOKUP(G96,UnitsCV!$A$1:$D$500,4,FALSE)</f>
        <v>%</v>
      </c>
      <c r="Z96" s="17" t="str">
        <f>VLOOKUP(K96,DataTypeCV!$A$1:$C$500,2,FALSE)</f>
        <v>Average</v>
      </c>
      <c r="AA96" s="17" t="str">
        <f>VLOOKUP(L96,UnitsCV!$A$1:$D$500,4,FALSE)</f>
        <v>min</v>
      </c>
      <c r="AC96" s="16" t="str">
        <f t="shared" si="2"/>
        <v>44914212511022</v>
      </c>
    </row>
    <row r="97" spans="1:29" x14ac:dyDescent="0.2">
      <c r="A97">
        <v>96</v>
      </c>
      <c r="B97">
        <v>44</v>
      </c>
      <c r="C97">
        <v>9</v>
      </c>
      <c r="E97">
        <v>14</v>
      </c>
      <c r="F97">
        <v>2</v>
      </c>
      <c r="G97">
        <v>1</v>
      </c>
      <c r="I97">
        <v>3</v>
      </c>
      <c r="J97">
        <v>5</v>
      </c>
      <c r="K97">
        <v>8</v>
      </c>
      <c r="L97">
        <v>102</v>
      </c>
      <c r="M97" s="7">
        <v>2</v>
      </c>
      <c r="T97" s="16">
        <f>VLOOKUP(B97,Deployment!$A$1:$H$500,4,FALSE)</f>
        <v>40620.647916666669</v>
      </c>
      <c r="U97" s="17" t="str">
        <f>CONCATENATE(VLOOKUP(VLOOKUP(B97,Deployment!$A$1:$H$500,2,FALSE),Logger!$A$1:$F$500,3,FALSE),"/",VLOOKUP(VLOOKUP(B97,Deployment!$A$1:$H$500,2,FALSE),Logger!$A$1:$F$500,4,FALSE),"/",VLOOKUP(VLOOKUP(B97,Deployment!$A$1:$H$500,2,FALSE),Logger!$A$1:$F$500,5,FALSE))</f>
        <v>Telog/WLS31/22099</v>
      </c>
      <c r="V97" s="17" t="str">
        <f>VLOOKUP(C97,Sites!$A$4:$B$501,2,FALSE)</f>
        <v>WELL014</v>
      </c>
      <c r="W97" s="17" t="str">
        <f>CONCATENATE(VLOOKUP(E97,Sensors!$A$1:$G$500,4,FALSE),"/",VLOOKUP(E97,Sensors!$A$1:$G$500,5,FALSE),"/",VLOOKUP(E97,Sensors!$A$1:$G$500,6,FALSE))</f>
        <v>Telog/PDCR 1830-8335 (5psi)/2037685</v>
      </c>
      <c r="X97" s="17" t="str">
        <f>VLOOKUP(F97,Variables!$A$2:$E$500, 2, FALSE)</f>
        <v>% Full Scale (5 psi)</v>
      </c>
      <c r="Y97" s="17" t="str">
        <f>VLOOKUP(G97,UnitsCV!$A$1:$D$500,4,FALSE)</f>
        <v>%</v>
      </c>
      <c r="Z97" s="17" t="str">
        <f>VLOOKUP(K97,DataTypeCV!$A$1:$C$500,2,FALSE)</f>
        <v>Maximum</v>
      </c>
      <c r="AA97" s="17" t="str">
        <f>VLOOKUP(L97,UnitsCV!$A$1:$D$500,4,FALSE)</f>
        <v>min</v>
      </c>
      <c r="AC97" s="16" t="str">
        <f t="shared" si="2"/>
        <v>44914213581022</v>
      </c>
    </row>
    <row r="98" spans="1:29" x14ac:dyDescent="0.2">
      <c r="A98">
        <v>97</v>
      </c>
      <c r="B98">
        <v>45</v>
      </c>
      <c r="C98">
        <v>12</v>
      </c>
      <c r="E98">
        <v>15</v>
      </c>
      <c r="F98">
        <v>5</v>
      </c>
      <c r="G98">
        <v>170</v>
      </c>
      <c r="I98">
        <v>1</v>
      </c>
      <c r="J98">
        <v>0</v>
      </c>
      <c r="K98">
        <v>1</v>
      </c>
      <c r="L98">
        <v>102</v>
      </c>
      <c r="M98" s="7">
        <v>2</v>
      </c>
      <c r="T98" s="16">
        <f>VLOOKUP(B98,Deployment!$A$1:$H$500,4,FALSE)</f>
        <v>40949.71875</v>
      </c>
      <c r="U98" s="17" t="str">
        <f>CONCATENATE(VLOOKUP(VLOOKUP(B98,Deployment!$A$1:$H$500,2,FALSE),Logger!$A$1:$F$500,3,FALSE),"/",VLOOKUP(VLOOKUP(B98,Deployment!$A$1:$H$500,2,FALSE),Logger!$A$1:$F$500,4,FALSE),"/",VLOOKUP(VLOOKUP(B98,Deployment!$A$1:$H$500,2,FALSE),Logger!$A$1:$F$500,5,FALSE))</f>
        <v>Onset/U20-001-01/867579</v>
      </c>
      <c r="V98" s="17" t="str">
        <f>VLOOKUP(C98,Sites!$A$4:$B$501,2,FALSE)</f>
        <v>MorrisRun</v>
      </c>
      <c r="W98" s="17" t="str">
        <f>CONCATENATE(VLOOKUP(E98,Sensors!$A$1:$G$500,4,FALSE),"/",VLOOKUP(E98,Sensors!$A$1:$G$500,5,FALSE),"/",VLOOKUP(E98,Sensors!$A$1:$G$500,6,FALSE))</f>
        <v>Onset/U20-001-01/867579</v>
      </c>
      <c r="X98" s="17" t="str">
        <f>VLOOKUP(F98,Variables!$A$2:$E$500, 2, FALSE)</f>
        <v>Absolute Pressure</v>
      </c>
      <c r="Y98" s="17" t="str">
        <f>VLOOKUP(G98,UnitsCV!$A$1:$D$500,4,FALSE)</f>
        <v>kPa</v>
      </c>
      <c r="Z98" s="17" t="str">
        <f>VLOOKUP(K98,DataTypeCV!$A$1:$C$500,2,FALSE)</f>
        <v>Average</v>
      </c>
      <c r="AA98" s="17" t="str">
        <f>VLOOKUP(L98,UnitsCV!$A$1:$D$500,4,FALSE)</f>
        <v>min</v>
      </c>
      <c r="AC98" s="16" t="str">
        <f t="shared" ref="AC98:AC111" si="3">CONCATENATE(B98,C98,E98,F98,G98,I98,J98,K98,L98,M98,N98,O98,P98,Q98,R98)</f>
        <v>45121551701011022</v>
      </c>
    </row>
    <row r="99" spans="1:29" x14ac:dyDescent="0.2">
      <c r="A99">
        <v>98</v>
      </c>
      <c r="B99">
        <v>45</v>
      </c>
      <c r="C99">
        <v>12</v>
      </c>
      <c r="E99">
        <v>15</v>
      </c>
      <c r="F99">
        <v>223</v>
      </c>
      <c r="G99">
        <v>96</v>
      </c>
      <c r="I99">
        <v>2</v>
      </c>
      <c r="J99">
        <v>0</v>
      </c>
      <c r="K99">
        <v>1</v>
      </c>
      <c r="L99">
        <v>102</v>
      </c>
      <c r="M99" s="7">
        <v>2</v>
      </c>
      <c r="T99" s="16">
        <f>VLOOKUP(B99,Deployment!$A$1:$H$500,4,FALSE)</f>
        <v>40949.71875</v>
      </c>
      <c r="U99" s="17" t="str">
        <f>CONCATENATE(VLOOKUP(VLOOKUP(B99,Deployment!$A$1:$H$500,2,FALSE),Logger!$A$1:$F$500,3,FALSE),"/",VLOOKUP(VLOOKUP(B99,Deployment!$A$1:$H$500,2,FALSE),Logger!$A$1:$F$500,4,FALSE),"/",VLOOKUP(VLOOKUP(B99,Deployment!$A$1:$H$500,2,FALSE),Logger!$A$1:$F$500,5,FALSE))</f>
        <v>Onset/U20-001-01/867579</v>
      </c>
      <c r="V99" s="17" t="str">
        <f>VLOOKUP(C99,Sites!$A$4:$B$501,2,FALSE)</f>
        <v>MorrisRun</v>
      </c>
      <c r="W99" s="17" t="str">
        <f>CONCATENATE(VLOOKUP(E99,Sensors!$A$1:$G$500,4,FALSE),"/",VLOOKUP(E99,Sensors!$A$1:$G$500,5,FALSE),"/",VLOOKUP(E99,Sensors!$A$1:$G$500,6,FALSE))</f>
        <v>Onset/U20-001-01/867579</v>
      </c>
      <c r="X99" s="17" t="str">
        <f>VLOOKUP(F99,Variables!$A$2:$E$500, 2, FALSE)</f>
        <v>Temperature</v>
      </c>
      <c r="Y99" s="17" t="str">
        <f>VLOOKUP(G99,UnitsCV!$A$1:$D$500,4,FALSE)</f>
        <v>degC</v>
      </c>
      <c r="Z99" s="17" t="str">
        <f>VLOOKUP(K99,DataTypeCV!$A$1:$C$500,2,FALSE)</f>
        <v>Average</v>
      </c>
      <c r="AA99" s="17" t="str">
        <f>VLOOKUP(L99,UnitsCV!$A$1:$D$500,4,FALSE)</f>
        <v>min</v>
      </c>
      <c r="AC99" s="16" t="str">
        <f t="shared" si="3"/>
        <v>451215223962011022</v>
      </c>
    </row>
    <row r="100" spans="1:29" x14ac:dyDescent="0.2">
      <c r="A100">
        <v>99</v>
      </c>
      <c r="B100">
        <v>45</v>
      </c>
      <c r="C100">
        <v>12</v>
      </c>
      <c r="E100">
        <v>15</v>
      </c>
      <c r="F100">
        <v>75</v>
      </c>
      <c r="G100">
        <v>258</v>
      </c>
      <c r="I100">
        <v>3</v>
      </c>
      <c r="J100">
        <v>0</v>
      </c>
      <c r="K100">
        <v>3</v>
      </c>
      <c r="L100">
        <v>102</v>
      </c>
      <c r="M100" s="7">
        <v>2</v>
      </c>
      <c r="T100" s="16">
        <f>VLOOKUP(B100,Deployment!$A$1:$H$500,4,FALSE)</f>
        <v>40949.71875</v>
      </c>
      <c r="U100" s="17" t="str">
        <f>CONCATENATE(VLOOKUP(VLOOKUP(B100,Deployment!$A$1:$H$500,2,FALSE),Logger!$A$1:$F$500,3,FALSE),"/",VLOOKUP(VLOOKUP(B100,Deployment!$A$1:$H$500,2,FALSE),Logger!$A$1:$F$500,4,FALSE),"/",VLOOKUP(VLOOKUP(B100,Deployment!$A$1:$H$500,2,FALSE),Logger!$A$1:$F$500,5,FALSE))</f>
        <v>Onset/U20-001-01/867579</v>
      </c>
      <c r="V100" s="17" t="str">
        <f>VLOOKUP(C100,Sites!$A$4:$B$501,2,FALSE)</f>
        <v>MorrisRun</v>
      </c>
      <c r="W100" s="17" t="str">
        <f>CONCATENATE(VLOOKUP(E100,Sensors!$A$1:$G$500,4,FALSE),"/",VLOOKUP(E100,Sensors!$A$1:$G$500,5,FALSE),"/",VLOOKUP(E100,Sensors!$A$1:$G$500,6,FALSE))</f>
        <v>Onset/U20-001-01/867579</v>
      </c>
      <c r="X100" s="17" t="str">
        <f>VLOOKUP(F100,Variables!$A$2:$E$500, 2, FALSE)</f>
        <v>Data Shuttle Detached</v>
      </c>
      <c r="Y100" s="17" t="str">
        <f>VLOOKUP(G100,UnitsCV!$A$1:$D$500,4,FALSE)</f>
        <v>code</v>
      </c>
      <c r="Z100" s="17" t="str">
        <f>VLOOKUP(K100,DataTypeCV!$A$1:$C$500,2,FALSE)</f>
        <v>Categorical</v>
      </c>
      <c r="AA100" s="17" t="str">
        <f>VLOOKUP(L100,UnitsCV!$A$1:$D$500,4,FALSE)</f>
        <v>min</v>
      </c>
      <c r="AC100" s="16" t="str">
        <f t="shared" si="3"/>
        <v>451215752583031022</v>
      </c>
    </row>
    <row r="101" spans="1:29" x14ac:dyDescent="0.2">
      <c r="A101">
        <v>100</v>
      </c>
      <c r="B101">
        <v>45</v>
      </c>
      <c r="C101">
        <v>12</v>
      </c>
      <c r="E101">
        <v>15</v>
      </c>
      <c r="F101">
        <v>74</v>
      </c>
      <c r="G101">
        <v>258</v>
      </c>
      <c r="I101">
        <v>4</v>
      </c>
      <c r="J101">
        <v>0</v>
      </c>
      <c r="K101">
        <v>3</v>
      </c>
      <c r="L101">
        <v>102</v>
      </c>
      <c r="M101" s="7">
        <v>2</v>
      </c>
      <c r="T101" s="16">
        <f>VLOOKUP(B101,Deployment!$A$1:$H$500,4,FALSE)</f>
        <v>40949.71875</v>
      </c>
      <c r="U101" s="17" t="str">
        <f>CONCATENATE(VLOOKUP(VLOOKUP(B101,Deployment!$A$1:$H$500,2,FALSE),Logger!$A$1:$F$500,3,FALSE),"/",VLOOKUP(VLOOKUP(B101,Deployment!$A$1:$H$500,2,FALSE),Logger!$A$1:$F$500,4,FALSE),"/",VLOOKUP(VLOOKUP(B101,Deployment!$A$1:$H$500,2,FALSE),Logger!$A$1:$F$500,5,FALSE))</f>
        <v>Onset/U20-001-01/867579</v>
      </c>
      <c r="V101" s="17" t="str">
        <f>VLOOKUP(C101,Sites!$A$4:$B$501,2,FALSE)</f>
        <v>MorrisRun</v>
      </c>
      <c r="W101" s="17" t="str">
        <f>CONCATENATE(VLOOKUP(E101,Sensors!$A$1:$G$500,4,FALSE),"/",VLOOKUP(E101,Sensors!$A$1:$G$500,5,FALSE),"/",VLOOKUP(E101,Sensors!$A$1:$G$500,6,FALSE))</f>
        <v>Onset/U20-001-01/867579</v>
      </c>
      <c r="X101" s="17" t="str">
        <f>VLOOKUP(F101,Variables!$A$2:$E$500, 2, FALSE)</f>
        <v>Data Shuttle Attached</v>
      </c>
      <c r="Y101" s="17" t="str">
        <f>VLOOKUP(G101,UnitsCV!$A$1:$D$500,4,FALSE)</f>
        <v>code</v>
      </c>
      <c r="Z101" s="17" t="str">
        <f>VLOOKUP(K101,DataTypeCV!$A$1:$C$500,2,FALSE)</f>
        <v>Categorical</v>
      </c>
      <c r="AA101" s="17" t="str">
        <f>VLOOKUP(L101,UnitsCV!$A$1:$D$500,4,FALSE)</f>
        <v>min</v>
      </c>
      <c r="AC101" s="16" t="str">
        <f t="shared" si="3"/>
        <v>451215742584031022</v>
      </c>
    </row>
    <row r="102" spans="1:29" x14ac:dyDescent="0.2">
      <c r="A102">
        <v>101</v>
      </c>
      <c r="B102">
        <v>45</v>
      </c>
      <c r="C102">
        <v>12</v>
      </c>
      <c r="E102">
        <v>15</v>
      </c>
      <c r="F102">
        <v>115</v>
      </c>
      <c r="G102">
        <v>258</v>
      </c>
      <c r="I102">
        <v>5</v>
      </c>
      <c r="J102">
        <v>0</v>
      </c>
      <c r="K102">
        <v>3</v>
      </c>
      <c r="L102">
        <v>102</v>
      </c>
      <c r="M102" s="7">
        <v>2</v>
      </c>
      <c r="T102" s="16">
        <f>VLOOKUP(B102,Deployment!$A$1:$H$500,4,FALSE)</f>
        <v>40949.71875</v>
      </c>
      <c r="U102" s="17" t="str">
        <f>CONCATENATE(VLOOKUP(VLOOKUP(B102,Deployment!$A$1:$H$500,2,FALSE),Logger!$A$1:$F$500,3,FALSE),"/",VLOOKUP(VLOOKUP(B102,Deployment!$A$1:$H$500,2,FALSE),Logger!$A$1:$F$500,4,FALSE),"/",VLOOKUP(VLOOKUP(B102,Deployment!$A$1:$H$500,2,FALSE),Logger!$A$1:$F$500,5,FALSE))</f>
        <v>Onset/U20-001-01/867579</v>
      </c>
      <c r="V102" s="17" t="str">
        <f>VLOOKUP(C102,Sites!$A$4:$B$501,2,FALSE)</f>
        <v>MorrisRun</v>
      </c>
      <c r="W102" s="17" t="str">
        <f>CONCATENATE(VLOOKUP(E102,Sensors!$A$1:$G$500,4,FALSE),"/",VLOOKUP(E102,Sensors!$A$1:$G$500,5,FALSE),"/",VLOOKUP(E102,Sensors!$A$1:$G$500,6,FALSE))</f>
        <v>Onset/U20-001-01/867579</v>
      </c>
      <c r="X102" s="17" t="str">
        <f>VLOOKUP(F102,Variables!$A$2:$E$500, 2, FALSE)</f>
        <v>Logger Stopped</v>
      </c>
      <c r="Y102" s="17" t="str">
        <f>VLOOKUP(G102,UnitsCV!$A$1:$D$500,4,FALSE)</f>
        <v>code</v>
      </c>
      <c r="Z102" s="17" t="str">
        <f>VLOOKUP(K102,DataTypeCV!$A$1:$C$500,2,FALSE)</f>
        <v>Categorical</v>
      </c>
      <c r="AA102" s="17" t="str">
        <f>VLOOKUP(L102,UnitsCV!$A$1:$D$500,4,FALSE)</f>
        <v>min</v>
      </c>
      <c r="AC102" s="16" t="str">
        <f t="shared" si="3"/>
        <v>4512151152585031022</v>
      </c>
    </row>
    <row r="103" spans="1:29" x14ac:dyDescent="0.2">
      <c r="A103">
        <v>102</v>
      </c>
      <c r="B103">
        <v>45</v>
      </c>
      <c r="C103">
        <v>12</v>
      </c>
      <c r="E103">
        <v>15</v>
      </c>
      <c r="F103">
        <v>87</v>
      </c>
      <c r="G103">
        <v>258</v>
      </c>
      <c r="I103">
        <v>6</v>
      </c>
      <c r="J103">
        <v>0</v>
      </c>
      <c r="K103">
        <v>3</v>
      </c>
      <c r="L103">
        <v>102</v>
      </c>
      <c r="M103" s="7">
        <v>2</v>
      </c>
      <c r="T103" s="16">
        <f>VLOOKUP(B103,Deployment!$A$1:$H$500,4,FALSE)</f>
        <v>40949.71875</v>
      </c>
      <c r="U103" s="17" t="str">
        <f>CONCATENATE(VLOOKUP(VLOOKUP(B103,Deployment!$A$1:$H$500,2,FALSE),Logger!$A$1:$F$500,3,FALSE),"/",VLOOKUP(VLOOKUP(B103,Deployment!$A$1:$H$500,2,FALSE),Logger!$A$1:$F$500,4,FALSE),"/",VLOOKUP(VLOOKUP(B103,Deployment!$A$1:$H$500,2,FALSE),Logger!$A$1:$F$500,5,FALSE))</f>
        <v>Onset/U20-001-01/867579</v>
      </c>
      <c r="V103" s="17" t="str">
        <f>VLOOKUP(C103,Sites!$A$4:$B$501,2,FALSE)</f>
        <v>MorrisRun</v>
      </c>
      <c r="W103" s="17" t="str">
        <f>CONCATENATE(VLOOKUP(E103,Sensors!$A$1:$G$500,4,FALSE),"/",VLOOKUP(E103,Sensors!$A$1:$G$500,5,FALSE),"/",VLOOKUP(E103,Sensors!$A$1:$G$500,6,FALSE))</f>
        <v>Onset/U20-001-01/867579</v>
      </c>
      <c r="X103" s="17" t="str">
        <f>VLOOKUP(F103,Variables!$A$2:$E$500, 2, FALSE)</f>
        <v>End of File</v>
      </c>
      <c r="Y103" s="17" t="str">
        <f>VLOOKUP(G103,UnitsCV!$A$1:$D$500,4,FALSE)</f>
        <v>code</v>
      </c>
      <c r="Z103" s="17" t="str">
        <f>VLOOKUP(K103,DataTypeCV!$A$1:$C$500,2,FALSE)</f>
        <v>Categorical</v>
      </c>
      <c r="AA103" s="17" t="str">
        <f>VLOOKUP(L103,UnitsCV!$A$1:$D$500,4,FALSE)</f>
        <v>min</v>
      </c>
      <c r="AC103" s="16" t="str">
        <f t="shared" si="3"/>
        <v>451215872586031022</v>
      </c>
    </row>
    <row r="104" spans="1:29" x14ac:dyDescent="0.2">
      <c r="A104">
        <v>103</v>
      </c>
      <c r="B104">
        <v>46</v>
      </c>
      <c r="C104">
        <v>12</v>
      </c>
      <c r="E104">
        <v>16</v>
      </c>
      <c r="F104">
        <v>5</v>
      </c>
      <c r="G104">
        <v>170</v>
      </c>
      <c r="I104">
        <v>1</v>
      </c>
      <c r="J104">
        <v>0</v>
      </c>
      <c r="K104">
        <v>1</v>
      </c>
      <c r="L104">
        <v>102</v>
      </c>
      <c r="M104" s="60">
        <v>1</v>
      </c>
      <c r="T104" s="16">
        <f>VLOOKUP(B104,Deployment!$A$1:$H$500,4,FALSE)</f>
        <v>40949.71875</v>
      </c>
      <c r="U104" s="17" t="str">
        <f>CONCATENATE(VLOOKUP(VLOOKUP(B104,Deployment!$A$1:$H$500,2,FALSE),Logger!$A$1:$F$500,3,FALSE),"/",VLOOKUP(VLOOKUP(B104,Deployment!$A$1:$H$500,2,FALSE),Logger!$A$1:$F$500,4,FALSE),"/",VLOOKUP(VLOOKUP(B104,Deployment!$A$1:$H$500,2,FALSE),Logger!$A$1:$F$500,5,FALSE))</f>
        <v>Onset/U20-001-01/867580</v>
      </c>
      <c r="V104" s="17" t="str">
        <f>VLOOKUP(C104,Sites!$A$4:$B$501,2,FALSE)</f>
        <v>MorrisRun</v>
      </c>
      <c r="W104" s="17" t="str">
        <f>CONCATENATE(VLOOKUP(E104,Sensors!$A$1:$G$500,4,FALSE),"/",VLOOKUP(E104,Sensors!$A$1:$G$500,5,FALSE),"/",VLOOKUP(E104,Sensors!$A$1:$G$500,6,FALSE))</f>
        <v>Onset/U20-001-01/867580</v>
      </c>
      <c r="X104" s="17" t="str">
        <f>VLOOKUP(F104,Variables!$A$2:$E$500, 2, FALSE)</f>
        <v>Absolute Pressure</v>
      </c>
      <c r="Y104" s="17" t="str">
        <f>VLOOKUP(G104,UnitsCV!$A$1:$D$500,4,FALSE)</f>
        <v>kPa</v>
      </c>
      <c r="Z104" s="17" t="str">
        <f>VLOOKUP(K104,DataTypeCV!$A$1:$C$500,2,FALSE)</f>
        <v>Average</v>
      </c>
      <c r="AA104" s="17" t="str">
        <f>VLOOKUP(L104,UnitsCV!$A$1:$D$500,4,FALSE)</f>
        <v>min</v>
      </c>
      <c r="AC104" s="16" t="str">
        <f t="shared" si="3"/>
        <v>46121651701011021</v>
      </c>
    </row>
    <row r="105" spans="1:29" x14ac:dyDescent="0.2">
      <c r="A105">
        <v>104</v>
      </c>
      <c r="B105">
        <v>46</v>
      </c>
      <c r="C105">
        <v>12</v>
      </c>
      <c r="E105">
        <v>16</v>
      </c>
      <c r="F105">
        <v>223</v>
      </c>
      <c r="G105">
        <v>96</v>
      </c>
      <c r="I105">
        <v>2</v>
      </c>
      <c r="J105">
        <v>0</v>
      </c>
      <c r="K105">
        <v>1</v>
      </c>
      <c r="L105">
        <v>102</v>
      </c>
      <c r="M105" s="60">
        <v>1</v>
      </c>
      <c r="T105" s="16">
        <f>VLOOKUP(B105,Deployment!$A$1:$H$500,4,FALSE)</f>
        <v>40949.71875</v>
      </c>
      <c r="U105" s="17" t="str">
        <f>CONCATENATE(VLOOKUP(VLOOKUP(B105,Deployment!$A$1:$H$500,2,FALSE),Logger!$A$1:$F$500,3,FALSE),"/",VLOOKUP(VLOOKUP(B105,Deployment!$A$1:$H$500,2,FALSE),Logger!$A$1:$F$500,4,FALSE),"/",VLOOKUP(VLOOKUP(B105,Deployment!$A$1:$H$500,2,FALSE),Logger!$A$1:$F$500,5,FALSE))</f>
        <v>Onset/U20-001-01/867580</v>
      </c>
      <c r="V105" s="17" t="str">
        <f>VLOOKUP(C105,Sites!$A$4:$B$501,2,FALSE)</f>
        <v>MorrisRun</v>
      </c>
      <c r="W105" s="17" t="str">
        <f>CONCATENATE(VLOOKUP(E105,Sensors!$A$1:$G$500,4,FALSE),"/",VLOOKUP(E105,Sensors!$A$1:$G$500,5,FALSE),"/",VLOOKUP(E105,Sensors!$A$1:$G$500,6,FALSE))</f>
        <v>Onset/U20-001-01/867580</v>
      </c>
      <c r="X105" s="17" t="str">
        <f>VLOOKUP(F105,Variables!$A$2:$E$500, 2, FALSE)</f>
        <v>Temperature</v>
      </c>
      <c r="Y105" s="17" t="str">
        <f>VLOOKUP(G105,UnitsCV!$A$1:$D$500,4,FALSE)</f>
        <v>degC</v>
      </c>
      <c r="Z105" s="17" t="str">
        <f>VLOOKUP(K105,DataTypeCV!$A$1:$C$500,2,FALSE)</f>
        <v>Average</v>
      </c>
      <c r="AA105" s="17" t="str">
        <f>VLOOKUP(L105,UnitsCV!$A$1:$D$500,4,FALSE)</f>
        <v>min</v>
      </c>
      <c r="AC105" s="16" t="str">
        <f t="shared" si="3"/>
        <v>461216223962011021</v>
      </c>
    </row>
    <row r="106" spans="1:29" x14ac:dyDescent="0.2">
      <c r="A106">
        <v>105</v>
      </c>
      <c r="B106">
        <v>46</v>
      </c>
      <c r="C106">
        <v>12</v>
      </c>
      <c r="E106">
        <v>16</v>
      </c>
      <c r="F106">
        <v>75</v>
      </c>
      <c r="G106">
        <v>258</v>
      </c>
      <c r="I106">
        <v>3</v>
      </c>
      <c r="J106">
        <v>0</v>
      </c>
      <c r="K106">
        <v>3</v>
      </c>
      <c r="L106">
        <v>102</v>
      </c>
      <c r="M106" s="60">
        <v>1</v>
      </c>
      <c r="T106" s="16">
        <f>VLOOKUP(B106,Deployment!$A$1:$H$500,4,FALSE)</f>
        <v>40949.71875</v>
      </c>
      <c r="U106" s="17" t="str">
        <f>CONCATENATE(VLOOKUP(VLOOKUP(B106,Deployment!$A$1:$H$500,2,FALSE),Logger!$A$1:$F$500,3,FALSE),"/",VLOOKUP(VLOOKUP(B106,Deployment!$A$1:$H$500,2,FALSE),Logger!$A$1:$F$500,4,FALSE),"/",VLOOKUP(VLOOKUP(B106,Deployment!$A$1:$H$500,2,FALSE),Logger!$A$1:$F$500,5,FALSE))</f>
        <v>Onset/U20-001-01/867580</v>
      </c>
      <c r="V106" s="17" t="str">
        <f>VLOOKUP(C106,Sites!$A$4:$B$501,2,FALSE)</f>
        <v>MorrisRun</v>
      </c>
      <c r="W106" s="17" t="str">
        <f>CONCATENATE(VLOOKUP(E106,Sensors!$A$1:$G$500,4,FALSE),"/",VLOOKUP(E106,Sensors!$A$1:$G$500,5,FALSE),"/",VLOOKUP(E106,Sensors!$A$1:$G$500,6,FALSE))</f>
        <v>Onset/U20-001-01/867580</v>
      </c>
      <c r="X106" s="17" t="str">
        <f>VLOOKUP(F106,Variables!$A$2:$E$500, 2, FALSE)</f>
        <v>Data Shuttle Detached</v>
      </c>
      <c r="Y106" s="17" t="str">
        <f>VLOOKUP(G106,UnitsCV!$A$1:$D$500,4,FALSE)</f>
        <v>code</v>
      </c>
      <c r="Z106" s="17" t="str">
        <f>VLOOKUP(K106,DataTypeCV!$A$1:$C$500,2,FALSE)</f>
        <v>Categorical</v>
      </c>
      <c r="AA106" s="17" t="str">
        <f>VLOOKUP(L106,UnitsCV!$A$1:$D$500,4,FALSE)</f>
        <v>min</v>
      </c>
      <c r="AC106" s="16" t="str">
        <f t="shared" si="3"/>
        <v>461216752583031021</v>
      </c>
    </row>
    <row r="107" spans="1:29" x14ac:dyDescent="0.2">
      <c r="A107">
        <v>106</v>
      </c>
      <c r="B107">
        <v>46</v>
      </c>
      <c r="C107">
        <v>12</v>
      </c>
      <c r="E107">
        <v>16</v>
      </c>
      <c r="F107">
        <v>74</v>
      </c>
      <c r="G107">
        <v>258</v>
      </c>
      <c r="I107">
        <v>4</v>
      </c>
      <c r="J107">
        <v>0</v>
      </c>
      <c r="K107">
        <v>3</v>
      </c>
      <c r="L107">
        <v>102</v>
      </c>
      <c r="M107" s="60">
        <v>1</v>
      </c>
      <c r="T107" s="16">
        <f>VLOOKUP(B107,Deployment!$A$1:$H$500,4,FALSE)</f>
        <v>40949.71875</v>
      </c>
      <c r="U107" s="17" t="str">
        <f>CONCATENATE(VLOOKUP(VLOOKUP(B107,Deployment!$A$1:$H$500,2,FALSE),Logger!$A$1:$F$500,3,FALSE),"/",VLOOKUP(VLOOKUP(B107,Deployment!$A$1:$H$500,2,FALSE),Logger!$A$1:$F$500,4,FALSE),"/",VLOOKUP(VLOOKUP(B107,Deployment!$A$1:$H$500,2,FALSE),Logger!$A$1:$F$500,5,FALSE))</f>
        <v>Onset/U20-001-01/867580</v>
      </c>
      <c r="V107" s="17" t="str">
        <f>VLOOKUP(C107,Sites!$A$4:$B$501,2,FALSE)</f>
        <v>MorrisRun</v>
      </c>
      <c r="W107" s="17" t="str">
        <f>CONCATENATE(VLOOKUP(E107,Sensors!$A$1:$G$500,4,FALSE),"/",VLOOKUP(E107,Sensors!$A$1:$G$500,5,FALSE),"/",VLOOKUP(E107,Sensors!$A$1:$G$500,6,FALSE))</f>
        <v>Onset/U20-001-01/867580</v>
      </c>
      <c r="X107" s="17" t="str">
        <f>VLOOKUP(F107,Variables!$A$2:$E$500, 2, FALSE)</f>
        <v>Data Shuttle Attached</v>
      </c>
      <c r="Y107" s="17" t="str">
        <f>VLOOKUP(G107,UnitsCV!$A$1:$D$500,4,FALSE)</f>
        <v>code</v>
      </c>
      <c r="Z107" s="17" t="str">
        <f>VLOOKUP(K107,DataTypeCV!$A$1:$C$500,2,FALSE)</f>
        <v>Categorical</v>
      </c>
      <c r="AA107" s="17" t="str">
        <f>VLOOKUP(L107,UnitsCV!$A$1:$D$500,4,FALSE)</f>
        <v>min</v>
      </c>
      <c r="AC107" s="16" t="str">
        <f t="shared" si="3"/>
        <v>461216742584031021</v>
      </c>
    </row>
    <row r="108" spans="1:29" x14ac:dyDescent="0.2">
      <c r="A108">
        <v>107</v>
      </c>
      <c r="B108">
        <v>46</v>
      </c>
      <c r="C108">
        <v>12</v>
      </c>
      <c r="E108">
        <v>16</v>
      </c>
      <c r="F108">
        <v>115</v>
      </c>
      <c r="G108">
        <v>258</v>
      </c>
      <c r="I108">
        <v>5</v>
      </c>
      <c r="J108">
        <v>0</v>
      </c>
      <c r="K108">
        <v>3</v>
      </c>
      <c r="L108">
        <v>102</v>
      </c>
      <c r="M108" s="60">
        <v>1</v>
      </c>
      <c r="T108" s="16">
        <f>VLOOKUP(B108,Deployment!$A$1:$H$500,4,FALSE)</f>
        <v>40949.71875</v>
      </c>
      <c r="U108" s="17" t="str">
        <f>CONCATENATE(VLOOKUP(VLOOKUP(B108,Deployment!$A$1:$H$500,2,FALSE),Logger!$A$1:$F$500,3,FALSE),"/",VLOOKUP(VLOOKUP(B108,Deployment!$A$1:$H$500,2,FALSE),Logger!$A$1:$F$500,4,FALSE),"/",VLOOKUP(VLOOKUP(B108,Deployment!$A$1:$H$500,2,FALSE),Logger!$A$1:$F$500,5,FALSE))</f>
        <v>Onset/U20-001-01/867580</v>
      </c>
      <c r="V108" s="17" t="str">
        <f>VLOOKUP(C108,Sites!$A$4:$B$501,2,FALSE)</f>
        <v>MorrisRun</v>
      </c>
      <c r="W108" s="17" t="str">
        <f>CONCATENATE(VLOOKUP(E108,Sensors!$A$1:$G$500,4,FALSE),"/",VLOOKUP(E108,Sensors!$A$1:$G$500,5,FALSE),"/",VLOOKUP(E108,Sensors!$A$1:$G$500,6,FALSE))</f>
        <v>Onset/U20-001-01/867580</v>
      </c>
      <c r="X108" s="17" t="str">
        <f>VLOOKUP(F108,Variables!$A$2:$E$500, 2, FALSE)</f>
        <v>Logger Stopped</v>
      </c>
      <c r="Y108" s="17" t="str">
        <f>VLOOKUP(G108,UnitsCV!$A$1:$D$500,4,FALSE)</f>
        <v>code</v>
      </c>
      <c r="Z108" s="17" t="str">
        <f>VLOOKUP(K108,DataTypeCV!$A$1:$C$500,2,FALSE)</f>
        <v>Categorical</v>
      </c>
      <c r="AA108" s="17" t="str">
        <f>VLOOKUP(L108,UnitsCV!$A$1:$D$500,4,FALSE)</f>
        <v>min</v>
      </c>
      <c r="AC108" s="16" t="str">
        <f t="shared" si="3"/>
        <v>4612161152585031021</v>
      </c>
    </row>
    <row r="109" spans="1:29" x14ac:dyDescent="0.2">
      <c r="A109">
        <v>108</v>
      </c>
      <c r="B109">
        <v>46</v>
      </c>
      <c r="C109">
        <v>12</v>
      </c>
      <c r="E109">
        <v>16</v>
      </c>
      <c r="F109">
        <v>87</v>
      </c>
      <c r="G109">
        <v>258</v>
      </c>
      <c r="I109">
        <v>6</v>
      </c>
      <c r="J109">
        <v>0</v>
      </c>
      <c r="K109">
        <v>3</v>
      </c>
      <c r="L109">
        <v>102</v>
      </c>
      <c r="M109" s="60">
        <v>1</v>
      </c>
      <c r="T109" s="16">
        <f>VLOOKUP(B109,Deployment!$A$1:$H$500,4,FALSE)</f>
        <v>40949.71875</v>
      </c>
      <c r="U109" s="17" t="str">
        <f>CONCATENATE(VLOOKUP(VLOOKUP(B109,Deployment!$A$1:$H$500,2,FALSE),Logger!$A$1:$F$500,3,FALSE),"/",VLOOKUP(VLOOKUP(B109,Deployment!$A$1:$H$500,2,FALSE),Logger!$A$1:$F$500,4,FALSE),"/",VLOOKUP(VLOOKUP(B109,Deployment!$A$1:$H$500,2,FALSE),Logger!$A$1:$F$500,5,FALSE))</f>
        <v>Onset/U20-001-01/867580</v>
      </c>
      <c r="V109" s="17" t="str">
        <f>VLOOKUP(C109,Sites!$A$4:$B$501,2,FALSE)</f>
        <v>MorrisRun</v>
      </c>
      <c r="W109" s="17" t="str">
        <f>CONCATENATE(VLOOKUP(E109,Sensors!$A$1:$G$500,4,FALSE),"/",VLOOKUP(E109,Sensors!$A$1:$G$500,5,FALSE),"/",VLOOKUP(E109,Sensors!$A$1:$G$500,6,FALSE))</f>
        <v>Onset/U20-001-01/867580</v>
      </c>
      <c r="X109" s="17" t="str">
        <f>VLOOKUP(F109,Variables!$A$2:$E$500, 2, FALSE)</f>
        <v>End of File</v>
      </c>
      <c r="Y109" s="17" t="str">
        <f>VLOOKUP(G109,UnitsCV!$A$1:$D$500,4,FALSE)</f>
        <v>code</v>
      </c>
      <c r="Z109" s="17" t="str">
        <f>VLOOKUP(K109,DataTypeCV!$A$1:$C$500,2,FALSE)</f>
        <v>Categorical</v>
      </c>
      <c r="AA109" s="17" t="str">
        <f>VLOOKUP(L109,UnitsCV!$A$1:$D$500,4,FALSE)</f>
        <v>min</v>
      </c>
      <c r="AC109" s="16" t="str">
        <f t="shared" si="3"/>
        <v>461216872586031021</v>
      </c>
    </row>
    <row r="110" spans="1:29" x14ac:dyDescent="0.2">
      <c r="A110">
        <v>109</v>
      </c>
      <c r="B110">
        <v>47</v>
      </c>
      <c r="C110">
        <v>14</v>
      </c>
      <c r="E110">
        <v>17</v>
      </c>
      <c r="F110">
        <v>253</v>
      </c>
      <c r="G110">
        <v>137</v>
      </c>
      <c r="I110">
        <v>1</v>
      </c>
      <c r="J110">
        <v>0</v>
      </c>
      <c r="K110">
        <v>1</v>
      </c>
      <c r="L110">
        <v>102</v>
      </c>
      <c r="M110" s="7">
        <v>2</v>
      </c>
      <c r="N110" t="s">
        <v>1422</v>
      </c>
      <c r="O110" t="s">
        <v>1422</v>
      </c>
      <c r="P110" t="s">
        <v>1422</v>
      </c>
      <c r="Q110" t="s">
        <v>1422</v>
      </c>
      <c r="R110" t="s">
        <v>1422</v>
      </c>
      <c r="T110" s="16">
        <f>VLOOKUP(B110,Deployment!$A$1:$H$500,4,FALSE)</f>
        <v>40950.635416666664</v>
      </c>
      <c r="U110" s="17" t="str">
        <f>CONCATENATE(VLOOKUP(VLOOKUP(B110,Deployment!$A$1:$H$500,2,FALSE),Logger!$A$1:$F$500,3,FALSE),"/",VLOOKUP(VLOOKUP(B110,Deployment!$A$1:$H$500,2,FALSE),Logger!$A$1:$F$500,4,FALSE),"/",VLOOKUP(VLOOKUP(B110,Deployment!$A$1:$H$500,2,FALSE),Logger!$A$1:$F$500,5,FALSE))</f>
        <v>Odyssey/Capacitive Water Level/41048</v>
      </c>
      <c r="V110" s="17" t="str">
        <f>VLOOKUP(C110,Sites!$A$4:$B$501,2,FALSE)</f>
        <v>HalfwayRun</v>
      </c>
      <c r="W110" s="17" t="str">
        <f>CONCATENATE(VLOOKUP(E110,Sensors!$A$1:$G$500,4,FALSE),"/",VLOOKUP(E110,Sensors!$A$1:$G$500,5,FALSE),"/",VLOOKUP(E110,Sensors!$A$1:$G$500,6,FALSE))</f>
        <v>Odyssey/Capacitive Water Level/41048</v>
      </c>
      <c r="X110" s="17" t="str">
        <f>VLOOKUP(F110,Variables!$A$2:$E$500, 2, FALSE)</f>
        <v>Raw Logger Output</v>
      </c>
      <c r="Y110" s="17" t="str">
        <f>VLOOKUP(G110,UnitsCV!$A$1:$D$500,4,FALSE)</f>
        <v>-</v>
      </c>
      <c r="Z110" s="17" t="str">
        <f>VLOOKUP(K110,DataTypeCV!$A$1:$C$500,2,FALSE)</f>
        <v>Average</v>
      </c>
      <c r="AA110" s="17" t="str">
        <f>VLOOKUP(L110,UnitsCV!$A$1:$D$500,4,FALSE)</f>
        <v>min</v>
      </c>
      <c r="AC110" s="16" t="str">
        <f t="shared" si="3"/>
        <v>4714172531371011022</v>
      </c>
    </row>
    <row r="111" spans="1:29" x14ac:dyDescent="0.2">
      <c r="A111">
        <v>110</v>
      </c>
      <c r="B111">
        <v>47</v>
      </c>
      <c r="C111">
        <v>14</v>
      </c>
      <c r="E111">
        <v>17</v>
      </c>
      <c r="F111">
        <v>238</v>
      </c>
      <c r="G111">
        <v>54</v>
      </c>
      <c r="I111">
        <v>2</v>
      </c>
      <c r="J111">
        <v>0</v>
      </c>
      <c r="K111">
        <v>1</v>
      </c>
      <c r="L111">
        <v>102</v>
      </c>
      <c r="M111" s="7">
        <v>2</v>
      </c>
      <c r="N111" t="s">
        <v>1422</v>
      </c>
      <c r="O111" t="s">
        <v>1422</v>
      </c>
      <c r="P111" t="s">
        <v>1422</v>
      </c>
      <c r="Q111" t="s">
        <v>1422</v>
      </c>
      <c r="R111" t="s">
        <v>1422</v>
      </c>
      <c r="T111" s="16">
        <f>VLOOKUP(B111,Deployment!$A$1:$H$500,4,FALSE)</f>
        <v>40950.635416666664</v>
      </c>
      <c r="U111" s="17" t="str">
        <f>CONCATENATE(VLOOKUP(VLOOKUP(B111,Deployment!$A$1:$H$500,2,FALSE),Logger!$A$1:$F$500,3,FALSE),"/",VLOOKUP(VLOOKUP(B111,Deployment!$A$1:$H$500,2,FALSE),Logger!$A$1:$F$500,4,FALSE),"/",VLOOKUP(VLOOKUP(B111,Deployment!$A$1:$H$500,2,FALSE),Logger!$A$1:$F$500,5,FALSE))</f>
        <v>Odyssey/Capacitive Water Level/41048</v>
      </c>
      <c r="V111" s="17" t="str">
        <f>VLOOKUP(C111,Sites!$A$4:$B$501,2,FALSE)</f>
        <v>HalfwayRun</v>
      </c>
      <c r="W111" s="17" t="str">
        <f>CONCATENATE(VLOOKUP(E111,Sensors!$A$1:$G$500,4,FALSE),"/",VLOOKUP(E111,Sensors!$A$1:$G$500,5,FALSE),"/",VLOOKUP(E111,Sensors!$A$1:$G$500,6,FALSE))</f>
        <v>Odyssey/Capacitive Water Level/41048</v>
      </c>
      <c r="X111" s="17" t="str">
        <f>VLOOKUP(F111,Variables!$A$2:$E$500, 2, FALSE)</f>
        <v>Water depth</v>
      </c>
      <c r="Y111" s="17" t="str">
        <f>VLOOKUP(G111,UnitsCV!$A$1:$D$500,4,FALSE)</f>
        <v>mm</v>
      </c>
      <c r="Z111" s="17" t="str">
        <f>VLOOKUP(K111,DataTypeCV!$A$1:$C$500,2,FALSE)</f>
        <v>Average</v>
      </c>
      <c r="AA111" s="17" t="str">
        <f>VLOOKUP(L111,UnitsCV!$A$1:$D$500,4,FALSE)</f>
        <v>min</v>
      </c>
      <c r="AC111" s="16" t="str">
        <f t="shared" si="3"/>
        <v>471417238542011022</v>
      </c>
    </row>
    <row r="112" spans="1:29" x14ac:dyDescent="0.2">
      <c r="A112">
        <f>A111+1</f>
        <v>111</v>
      </c>
      <c r="B112">
        <v>47</v>
      </c>
      <c r="C112">
        <v>14</v>
      </c>
      <c r="E112">
        <v>17</v>
      </c>
      <c r="F112">
        <v>253</v>
      </c>
      <c r="G112">
        <v>137</v>
      </c>
      <c r="I112">
        <v>1</v>
      </c>
      <c r="J112">
        <v>0</v>
      </c>
      <c r="K112">
        <v>1</v>
      </c>
      <c r="L112">
        <v>102</v>
      </c>
      <c r="M112">
        <v>2</v>
      </c>
      <c r="N112" t="s">
        <v>1422</v>
      </c>
      <c r="O112" t="s">
        <v>1422</v>
      </c>
      <c r="P112" t="s">
        <v>1422</v>
      </c>
      <c r="Q112" t="s">
        <v>1422</v>
      </c>
      <c r="R112" t="s">
        <v>1422</v>
      </c>
    </row>
    <row r="113" spans="1:1" x14ac:dyDescent="0.2">
      <c r="A113">
        <f t="shared" ref="A113:A176" si="4">A112+1</f>
        <v>112</v>
      </c>
    </row>
    <row r="114" spans="1:1" x14ac:dyDescent="0.2">
      <c r="A114">
        <f t="shared" si="4"/>
        <v>113</v>
      </c>
    </row>
    <row r="115" spans="1:1" x14ac:dyDescent="0.2">
      <c r="A115">
        <f t="shared" si="4"/>
        <v>114</v>
      </c>
    </row>
    <row r="116" spans="1:1" x14ac:dyDescent="0.2">
      <c r="A116">
        <f t="shared" si="4"/>
        <v>115</v>
      </c>
    </row>
    <row r="117" spans="1:1" x14ac:dyDescent="0.2">
      <c r="A117">
        <f t="shared" si="4"/>
        <v>116</v>
      </c>
    </row>
    <row r="118" spans="1:1" x14ac:dyDescent="0.2">
      <c r="A118">
        <f t="shared" si="4"/>
        <v>117</v>
      </c>
    </row>
    <row r="119" spans="1:1" x14ac:dyDescent="0.2">
      <c r="A119">
        <f t="shared" si="4"/>
        <v>118</v>
      </c>
    </row>
    <row r="120" spans="1:1" x14ac:dyDescent="0.2">
      <c r="A120">
        <f t="shared" si="4"/>
        <v>119</v>
      </c>
    </row>
    <row r="121" spans="1:1" x14ac:dyDescent="0.2">
      <c r="A121">
        <f t="shared" si="4"/>
        <v>120</v>
      </c>
    </row>
    <row r="122" spans="1:1" x14ac:dyDescent="0.2">
      <c r="A122">
        <f t="shared" si="4"/>
        <v>121</v>
      </c>
    </row>
    <row r="123" spans="1:1" x14ac:dyDescent="0.2">
      <c r="A123">
        <f t="shared" si="4"/>
        <v>122</v>
      </c>
    </row>
    <row r="124" spans="1:1" x14ac:dyDescent="0.2">
      <c r="A124">
        <f t="shared" si="4"/>
        <v>123</v>
      </c>
    </row>
    <row r="125" spans="1:1" x14ac:dyDescent="0.2">
      <c r="A125">
        <f t="shared" si="4"/>
        <v>124</v>
      </c>
    </row>
    <row r="126" spans="1:1" x14ac:dyDescent="0.2">
      <c r="A126">
        <f t="shared" si="4"/>
        <v>125</v>
      </c>
    </row>
    <row r="127" spans="1:1" x14ac:dyDescent="0.2">
      <c r="A127">
        <f t="shared" si="4"/>
        <v>126</v>
      </c>
    </row>
    <row r="128" spans="1:1" x14ac:dyDescent="0.2">
      <c r="A128">
        <f t="shared" si="4"/>
        <v>127</v>
      </c>
    </row>
    <row r="129" spans="1:1" x14ac:dyDescent="0.2">
      <c r="A129">
        <f t="shared" si="4"/>
        <v>128</v>
      </c>
    </row>
    <row r="130" spans="1:1" x14ac:dyDescent="0.2">
      <c r="A130">
        <f t="shared" si="4"/>
        <v>129</v>
      </c>
    </row>
    <row r="131" spans="1:1" x14ac:dyDescent="0.2">
      <c r="A131">
        <f t="shared" si="4"/>
        <v>130</v>
      </c>
    </row>
    <row r="132" spans="1:1" x14ac:dyDescent="0.2">
      <c r="A132">
        <f t="shared" si="4"/>
        <v>131</v>
      </c>
    </row>
    <row r="133" spans="1:1" x14ac:dyDescent="0.2">
      <c r="A133">
        <f t="shared" si="4"/>
        <v>132</v>
      </c>
    </row>
    <row r="134" spans="1:1" x14ac:dyDescent="0.2">
      <c r="A134">
        <f t="shared" si="4"/>
        <v>133</v>
      </c>
    </row>
    <row r="135" spans="1:1" x14ac:dyDescent="0.2">
      <c r="A135">
        <f t="shared" si="4"/>
        <v>134</v>
      </c>
    </row>
    <row r="136" spans="1:1" x14ac:dyDescent="0.2">
      <c r="A136">
        <f t="shared" si="4"/>
        <v>135</v>
      </c>
    </row>
    <row r="137" spans="1:1" x14ac:dyDescent="0.2">
      <c r="A137">
        <f t="shared" si="4"/>
        <v>136</v>
      </c>
    </row>
    <row r="138" spans="1:1" x14ac:dyDescent="0.2">
      <c r="A138">
        <f t="shared" si="4"/>
        <v>137</v>
      </c>
    </row>
    <row r="139" spans="1:1" x14ac:dyDescent="0.2">
      <c r="A139">
        <f t="shared" si="4"/>
        <v>138</v>
      </c>
    </row>
    <row r="140" spans="1:1" x14ac:dyDescent="0.2">
      <c r="A140">
        <f t="shared" si="4"/>
        <v>139</v>
      </c>
    </row>
    <row r="141" spans="1:1" x14ac:dyDescent="0.2">
      <c r="A141">
        <f t="shared" si="4"/>
        <v>140</v>
      </c>
    </row>
    <row r="142" spans="1:1" x14ac:dyDescent="0.2">
      <c r="A142">
        <f t="shared" si="4"/>
        <v>141</v>
      </c>
    </row>
    <row r="143" spans="1:1" x14ac:dyDescent="0.2">
      <c r="A143">
        <f t="shared" si="4"/>
        <v>142</v>
      </c>
    </row>
    <row r="144" spans="1:1" x14ac:dyDescent="0.2">
      <c r="A144">
        <f t="shared" si="4"/>
        <v>143</v>
      </c>
    </row>
    <row r="145" spans="1:1" x14ac:dyDescent="0.2">
      <c r="A145">
        <f t="shared" si="4"/>
        <v>144</v>
      </c>
    </row>
    <row r="146" spans="1:1" x14ac:dyDescent="0.2">
      <c r="A146">
        <f t="shared" si="4"/>
        <v>145</v>
      </c>
    </row>
    <row r="147" spans="1:1" x14ac:dyDescent="0.2">
      <c r="A147">
        <f t="shared" si="4"/>
        <v>146</v>
      </c>
    </row>
    <row r="148" spans="1:1" x14ac:dyDescent="0.2">
      <c r="A148">
        <f t="shared" si="4"/>
        <v>147</v>
      </c>
    </row>
    <row r="149" spans="1:1" x14ac:dyDescent="0.2">
      <c r="A149">
        <f t="shared" si="4"/>
        <v>148</v>
      </c>
    </row>
    <row r="150" spans="1:1" x14ac:dyDescent="0.2">
      <c r="A150">
        <f t="shared" si="4"/>
        <v>149</v>
      </c>
    </row>
    <row r="151" spans="1:1" x14ac:dyDescent="0.2">
      <c r="A151">
        <f t="shared" si="4"/>
        <v>150</v>
      </c>
    </row>
    <row r="152" spans="1:1" x14ac:dyDescent="0.2">
      <c r="A152">
        <f t="shared" si="4"/>
        <v>151</v>
      </c>
    </row>
    <row r="153" spans="1:1" x14ac:dyDescent="0.2">
      <c r="A153">
        <f t="shared" si="4"/>
        <v>152</v>
      </c>
    </row>
    <row r="154" spans="1:1" x14ac:dyDescent="0.2">
      <c r="A154">
        <f t="shared" si="4"/>
        <v>153</v>
      </c>
    </row>
    <row r="155" spans="1:1" x14ac:dyDescent="0.2">
      <c r="A155">
        <f t="shared" si="4"/>
        <v>154</v>
      </c>
    </row>
    <row r="156" spans="1:1" x14ac:dyDescent="0.2">
      <c r="A156">
        <f t="shared" si="4"/>
        <v>155</v>
      </c>
    </row>
    <row r="157" spans="1:1" x14ac:dyDescent="0.2">
      <c r="A157">
        <f t="shared" si="4"/>
        <v>156</v>
      </c>
    </row>
    <row r="158" spans="1:1" x14ac:dyDescent="0.2">
      <c r="A158">
        <f t="shared" si="4"/>
        <v>157</v>
      </c>
    </row>
    <row r="159" spans="1:1" x14ac:dyDescent="0.2">
      <c r="A159">
        <f t="shared" si="4"/>
        <v>158</v>
      </c>
    </row>
    <row r="160" spans="1:1" x14ac:dyDescent="0.2">
      <c r="A160">
        <f t="shared" si="4"/>
        <v>159</v>
      </c>
    </row>
    <row r="161" spans="1:1" x14ac:dyDescent="0.2">
      <c r="A161">
        <f t="shared" si="4"/>
        <v>160</v>
      </c>
    </row>
    <row r="162" spans="1:1" x14ac:dyDescent="0.2">
      <c r="A162">
        <f t="shared" si="4"/>
        <v>161</v>
      </c>
    </row>
    <row r="163" spans="1:1" x14ac:dyDescent="0.2">
      <c r="A163">
        <f t="shared" si="4"/>
        <v>162</v>
      </c>
    </row>
    <row r="164" spans="1:1" x14ac:dyDescent="0.2">
      <c r="A164">
        <f t="shared" si="4"/>
        <v>163</v>
      </c>
    </row>
    <row r="165" spans="1:1" x14ac:dyDescent="0.2">
      <c r="A165">
        <f t="shared" si="4"/>
        <v>164</v>
      </c>
    </row>
    <row r="166" spans="1:1" x14ac:dyDescent="0.2">
      <c r="A166">
        <f t="shared" si="4"/>
        <v>165</v>
      </c>
    </row>
    <row r="167" spans="1:1" x14ac:dyDescent="0.2">
      <c r="A167">
        <f t="shared" si="4"/>
        <v>166</v>
      </c>
    </row>
    <row r="168" spans="1:1" x14ac:dyDescent="0.2">
      <c r="A168">
        <f t="shared" si="4"/>
        <v>167</v>
      </c>
    </row>
    <row r="169" spans="1:1" x14ac:dyDescent="0.2">
      <c r="A169">
        <f t="shared" si="4"/>
        <v>168</v>
      </c>
    </row>
    <row r="170" spans="1:1" x14ac:dyDescent="0.2">
      <c r="A170">
        <f t="shared" si="4"/>
        <v>169</v>
      </c>
    </row>
    <row r="171" spans="1:1" x14ac:dyDescent="0.2">
      <c r="A171">
        <f t="shared" si="4"/>
        <v>170</v>
      </c>
    </row>
    <row r="172" spans="1:1" x14ac:dyDescent="0.2">
      <c r="A172">
        <f t="shared" si="4"/>
        <v>171</v>
      </c>
    </row>
    <row r="173" spans="1:1" x14ac:dyDescent="0.2">
      <c r="A173">
        <f t="shared" si="4"/>
        <v>172</v>
      </c>
    </row>
    <row r="174" spans="1:1" x14ac:dyDescent="0.2">
      <c r="A174">
        <f t="shared" si="4"/>
        <v>173</v>
      </c>
    </row>
    <row r="175" spans="1:1" x14ac:dyDescent="0.2">
      <c r="A175">
        <f t="shared" si="4"/>
        <v>174</v>
      </c>
    </row>
    <row r="176" spans="1:1" x14ac:dyDescent="0.2">
      <c r="A176">
        <f t="shared" si="4"/>
        <v>175</v>
      </c>
    </row>
    <row r="177" spans="1:1" x14ac:dyDescent="0.2">
      <c r="A177">
        <f t="shared" ref="A177:A240" si="5">A176+1</f>
        <v>176</v>
      </c>
    </row>
    <row r="178" spans="1:1" x14ac:dyDescent="0.2">
      <c r="A178">
        <f t="shared" si="5"/>
        <v>177</v>
      </c>
    </row>
    <row r="179" spans="1:1" x14ac:dyDescent="0.2">
      <c r="A179">
        <f t="shared" si="5"/>
        <v>178</v>
      </c>
    </row>
    <row r="180" spans="1:1" x14ac:dyDescent="0.2">
      <c r="A180">
        <f t="shared" si="5"/>
        <v>179</v>
      </c>
    </row>
    <row r="181" spans="1:1" x14ac:dyDescent="0.2">
      <c r="A181">
        <f t="shared" si="5"/>
        <v>180</v>
      </c>
    </row>
    <row r="182" spans="1:1" x14ac:dyDescent="0.2">
      <c r="A182">
        <f t="shared" si="5"/>
        <v>181</v>
      </c>
    </row>
    <row r="183" spans="1:1" x14ac:dyDescent="0.2">
      <c r="A183">
        <f t="shared" si="5"/>
        <v>182</v>
      </c>
    </row>
    <row r="184" spans="1:1" x14ac:dyDescent="0.2">
      <c r="A184">
        <f t="shared" si="5"/>
        <v>183</v>
      </c>
    </row>
    <row r="185" spans="1:1" x14ac:dyDescent="0.2">
      <c r="A185">
        <f t="shared" si="5"/>
        <v>184</v>
      </c>
    </row>
    <row r="186" spans="1:1" x14ac:dyDescent="0.2">
      <c r="A186">
        <f t="shared" si="5"/>
        <v>185</v>
      </c>
    </row>
    <row r="187" spans="1:1" x14ac:dyDescent="0.2">
      <c r="A187">
        <f t="shared" si="5"/>
        <v>186</v>
      </c>
    </row>
    <row r="188" spans="1:1" x14ac:dyDescent="0.2">
      <c r="A188">
        <f t="shared" si="5"/>
        <v>187</v>
      </c>
    </row>
    <row r="189" spans="1:1" x14ac:dyDescent="0.2">
      <c r="A189">
        <f t="shared" si="5"/>
        <v>188</v>
      </c>
    </row>
    <row r="190" spans="1:1" x14ac:dyDescent="0.2">
      <c r="A190">
        <f t="shared" si="5"/>
        <v>189</v>
      </c>
    </row>
    <row r="191" spans="1:1" x14ac:dyDescent="0.2">
      <c r="A191">
        <f t="shared" si="5"/>
        <v>190</v>
      </c>
    </row>
    <row r="192" spans="1:1" x14ac:dyDescent="0.2">
      <c r="A192">
        <f t="shared" si="5"/>
        <v>191</v>
      </c>
    </row>
    <row r="193" spans="1:1" x14ac:dyDescent="0.2">
      <c r="A193">
        <f t="shared" si="5"/>
        <v>192</v>
      </c>
    </row>
    <row r="194" spans="1:1" x14ac:dyDescent="0.2">
      <c r="A194">
        <f t="shared" si="5"/>
        <v>193</v>
      </c>
    </row>
    <row r="195" spans="1:1" x14ac:dyDescent="0.2">
      <c r="A195">
        <f t="shared" si="5"/>
        <v>194</v>
      </c>
    </row>
    <row r="196" spans="1:1" x14ac:dyDescent="0.2">
      <c r="A196">
        <f t="shared" si="5"/>
        <v>195</v>
      </c>
    </row>
    <row r="197" spans="1:1" x14ac:dyDescent="0.2">
      <c r="A197">
        <f t="shared" si="5"/>
        <v>196</v>
      </c>
    </row>
    <row r="198" spans="1:1" x14ac:dyDescent="0.2">
      <c r="A198">
        <f t="shared" si="5"/>
        <v>197</v>
      </c>
    </row>
    <row r="199" spans="1:1" x14ac:dyDescent="0.2">
      <c r="A199">
        <f t="shared" si="5"/>
        <v>198</v>
      </c>
    </row>
    <row r="200" spans="1:1" x14ac:dyDescent="0.2">
      <c r="A200">
        <f t="shared" si="5"/>
        <v>199</v>
      </c>
    </row>
    <row r="201" spans="1:1" x14ac:dyDescent="0.2">
      <c r="A201">
        <f t="shared" si="5"/>
        <v>200</v>
      </c>
    </row>
    <row r="202" spans="1:1" x14ac:dyDescent="0.2">
      <c r="A202">
        <f t="shared" si="5"/>
        <v>201</v>
      </c>
    </row>
    <row r="203" spans="1:1" x14ac:dyDescent="0.2">
      <c r="A203">
        <f t="shared" si="5"/>
        <v>202</v>
      </c>
    </row>
    <row r="204" spans="1:1" x14ac:dyDescent="0.2">
      <c r="A204">
        <f t="shared" si="5"/>
        <v>203</v>
      </c>
    </row>
    <row r="205" spans="1:1" x14ac:dyDescent="0.2">
      <c r="A205">
        <f t="shared" si="5"/>
        <v>204</v>
      </c>
    </row>
    <row r="206" spans="1:1" x14ac:dyDescent="0.2">
      <c r="A206">
        <f t="shared" si="5"/>
        <v>205</v>
      </c>
    </row>
    <row r="207" spans="1:1" x14ac:dyDescent="0.2">
      <c r="A207">
        <f t="shared" si="5"/>
        <v>206</v>
      </c>
    </row>
    <row r="208" spans="1:1" x14ac:dyDescent="0.2">
      <c r="A208">
        <f t="shared" si="5"/>
        <v>207</v>
      </c>
    </row>
    <row r="209" spans="1:1" x14ac:dyDescent="0.2">
      <c r="A209">
        <f t="shared" si="5"/>
        <v>208</v>
      </c>
    </row>
    <row r="210" spans="1:1" x14ac:dyDescent="0.2">
      <c r="A210">
        <f t="shared" si="5"/>
        <v>209</v>
      </c>
    </row>
    <row r="211" spans="1:1" x14ac:dyDescent="0.2">
      <c r="A211">
        <f t="shared" si="5"/>
        <v>210</v>
      </c>
    </row>
    <row r="212" spans="1:1" x14ac:dyDescent="0.2">
      <c r="A212">
        <f t="shared" si="5"/>
        <v>211</v>
      </c>
    </row>
    <row r="213" spans="1:1" x14ac:dyDescent="0.2">
      <c r="A213">
        <f t="shared" si="5"/>
        <v>212</v>
      </c>
    </row>
    <row r="214" spans="1:1" x14ac:dyDescent="0.2">
      <c r="A214">
        <f t="shared" si="5"/>
        <v>213</v>
      </c>
    </row>
    <row r="215" spans="1:1" x14ac:dyDescent="0.2">
      <c r="A215">
        <f t="shared" si="5"/>
        <v>214</v>
      </c>
    </row>
    <row r="216" spans="1:1" x14ac:dyDescent="0.2">
      <c r="A216">
        <f t="shared" si="5"/>
        <v>215</v>
      </c>
    </row>
    <row r="217" spans="1:1" x14ac:dyDescent="0.2">
      <c r="A217">
        <f t="shared" si="5"/>
        <v>216</v>
      </c>
    </row>
    <row r="218" spans="1:1" x14ac:dyDescent="0.2">
      <c r="A218">
        <f t="shared" si="5"/>
        <v>217</v>
      </c>
    </row>
    <row r="219" spans="1:1" x14ac:dyDescent="0.2">
      <c r="A219">
        <f t="shared" si="5"/>
        <v>218</v>
      </c>
    </row>
    <row r="220" spans="1:1" x14ac:dyDescent="0.2">
      <c r="A220">
        <f t="shared" si="5"/>
        <v>219</v>
      </c>
    </row>
    <row r="221" spans="1:1" x14ac:dyDescent="0.2">
      <c r="A221">
        <f t="shared" si="5"/>
        <v>220</v>
      </c>
    </row>
    <row r="222" spans="1:1" x14ac:dyDescent="0.2">
      <c r="A222">
        <f t="shared" si="5"/>
        <v>221</v>
      </c>
    </row>
    <row r="223" spans="1:1" x14ac:dyDescent="0.2">
      <c r="A223">
        <f t="shared" si="5"/>
        <v>222</v>
      </c>
    </row>
    <row r="224" spans="1:1" x14ac:dyDescent="0.2">
      <c r="A224">
        <f t="shared" si="5"/>
        <v>223</v>
      </c>
    </row>
    <row r="225" spans="1:1" x14ac:dyDescent="0.2">
      <c r="A225">
        <f t="shared" si="5"/>
        <v>224</v>
      </c>
    </row>
    <row r="226" spans="1:1" x14ac:dyDescent="0.2">
      <c r="A226">
        <f t="shared" si="5"/>
        <v>225</v>
      </c>
    </row>
    <row r="227" spans="1:1" x14ac:dyDescent="0.2">
      <c r="A227">
        <f t="shared" si="5"/>
        <v>226</v>
      </c>
    </row>
    <row r="228" spans="1:1" x14ac:dyDescent="0.2">
      <c r="A228">
        <f t="shared" si="5"/>
        <v>227</v>
      </c>
    </row>
    <row r="229" spans="1:1" x14ac:dyDescent="0.2">
      <c r="A229">
        <f t="shared" si="5"/>
        <v>228</v>
      </c>
    </row>
    <row r="230" spans="1:1" x14ac:dyDescent="0.2">
      <c r="A230">
        <f t="shared" si="5"/>
        <v>229</v>
      </c>
    </row>
    <row r="231" spans="1:1" x14ac:dyDescent="0.2">
      <c r="A231">
        <f t="shared" si="5"/>
        <v>230</v>
      </c>
    </row>
    <row r="232" spans="1:1" x14ac:dyDescent="0.2">
      <c r="A232">
        <f t="shared" si="5"/>
        <v>231</v>
      </c>
    </row>
    <row r="233" spans="1:1" x14ac:dyDescent="0.2">
      <c r="A233">
        <f t="shared" si="5"/>
        <v>232</v>
      </c>
    </row>
    <row r="234" spans="1:1" x14ac:dyDescent="0.2">
      <c r="A234">
        <f t="shared" si="5"/>
        <v>233</v>
      </c>
    </row>
    <row r="235" spans="1:1" x14ac:dyDescent="0.2">
      <c r="A235">
        <f t="shared" si="5"/>
        <v>234</v>
      </c>
    </row>
    <row r="236" spans="1:1" x14ac:dyDescent="0.2">
      <c r="A236">
        <f t="shared" si="5"/>
        <v>235</v>
      </c>
    </row>
    <row r="237" spans="1:1" x14ac:dyDescent="0.2">
      <c r="A237">
        <f t="shared" si="5"/>
        <v>236</v>
      </c>
    </row>
    <row r="238" spans="1:1" x14ac:dyDescent="0.2">
      <c r="A238">
        <f t="shared" si="5"/>
        <v>237</v>
      </c>
    </row>
    <row r="239" spans="1:1" x14ac:dyDescent="0.2">
      <c r="A239">
        <f t="shared" si="5"/>
        <v>238</v>
      </c>
    </row>
    <row r="240" spans="1:1" x14ac:dyDescent="0.2">
      <c r="A240">
        <f t="shared" si="5"/>
        <v>239</v>
      </c>
    </row>
    <row r="241" spans="1:1" x14ac:dyDescent="0.2">
      <c r="A241">
        <f t="shared" ref="A241:A250" si="6">A240+1</f>
        <v>240</v>
      </c>
    </row>
    <row r="242" spans="1:1" x14ac:dyDescent="0.2">
      <c r="A242">
        <f t="shared" si="6"/>
        <v>241</v>
      </c>
    </row>
    <row r="243" spans="1:1" x14ac:dyDescent="0.2">
      <c r="A243">
        <f t="shared" si="6"/>
        <v>242</v>
      </c>
    </row>
    <row r="244" spans="1:1" x14ac:dyDescent="0.2">
      <c r="A244">
        <f t="shared" si="6"/>
        <v>243</v>
      </c>
    </row>
    <row r="245" spans="1:1" x14ac:dyDescent="0.2">
      <c r="A245">
        <f t="shared" si="6"/>
        <v>244</v>
      </c>
    </row>
    <row r="246" spans="1:1" x14ac:dyDescent="0.2">
      <c r="A246">
        <f t="shared" si="6"/>
        <v>245</v>
      </c>
    </row>
    <row r="247" spans="1:1" x14ac:dyDescent="0.2">
      <c r="A247">
        <f t="shared" si="6"/>
        <v>246</v>
      </c>
    </row>
    <row r="248" spans="1:1" x14ac:dyDescent="0.2">
      <c r="A248">
        <f t="shared" si="6"/>
        <v>247</v>
      </c>
    </row>
    <row r="249" spans="1:1" x14ac:dyDescent="0.2">
      <c r="A249">
        <f t="shared" si="6"/>
        <v>248</v>
      </c>
    </row>
    <row r="250" spans="1:1" x14ac:dyDescent="0.2">
      <c r="A250">
        <f t="shared" si="6"/>
        <v>249</v>
      </c>
    </row>
  </sheetData>
  <phoneticPr fontId="1" type="noConversion"/>
  <pageMargins left="0.75" right="0.75" top="1" bottom="1" header="0.5" footer="0.5"/>
  <pageSetup orientation="portrait"/>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2"/>
  <sheetViews>
    <sheetView zoomScale="145" zoomScaleNormal="145" zoomScalePageLayoutView="145" workbookViewId="0">
      <pane xSplit="1" ySplit="1" topLeftCell="B2" activePane="bottomRight" state="frozen"/>
      <selection pane="topRight" activeCell="B1" sqref="B1"/>
      <selection pane="bottomLeft" activeCell="A2" sqref="A2"/>
      <selection pane="bottomRight" activeCell="B2" sqref="B2"/>
    </sheetView>
  </sheetViews>
  <sheetFormatPr defaultColWidth="8.85546875" defaultRowHeight="12.75" x14ac:dyDescent="0.2"/>
  <cols>
    <col min="1" max="1" width="7.42578125" bestFit="1" customWidth="1"/>
    <col min="2" max="2" width="13.28515625" bestFit="1" customWidth="1"/>
    <col min="3" max="3" width="12.85546875" customWidth="1"/>
    <col min="4" max="4" width="5.7109375" bestFit="1" customWidth="1"/>
    <col min="5" max="5" width="11.7109375" bestFit="1" customWidth="1"/>
    <col min="6" max="6" width="12.42578125" bestFit="1" customWidth="1"/>
  </cols>
  <sheetData>
    <row r="1" spans="1:6" s="2" customFormat="1" x14ac:dyDescent="0.2">
      <c r="A1" s="2" t="s">
        <v>117</v>
      </c>
      <c r="B1" s="2" t="s">
        <v>1409</v>
      </c>
      <c r="C1" s="2" t="s">
        <v>135</v>
      </c>
      <c r="D1" s="2" t="s">
        <v>118</v>
      </c>
      <c r="E1" s="2" t="s">
        <v>1366</v>
      </c>
      <c r="F1" s="2" t="s">
        <v>1367</v>
      </c>
    </row>
    <row r="2" spans="1:6" x14ac:dyDescent="0.2">
      <c r="A2">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L64"/>
  <sheetViews>
    <sheetView workbookViewId="0">
      <selection activeCell="I11" sqref="I11"/>
    </sheetView>
  </sheetViews>
  <sheetFormatPr defaultColWidth="8.85546875" defaultRowHeight="12.75" x14ac:dyDescent="0.2"/>
  <cols>
    <col min="1" max="1" width="12" bestFit="1" customWidth="1"/>
    <col min="2" max="2" width="10.7109375" bestFit="1" customWidth="1"/>
    <col min="3" max="3" width="20" bestFit="1" customWidth="1"/>
    <col min="4" max="4" width="18.42578125" bestFit="1" customWidth="1"/>
    <col min="5" max="5" width="20" bestFit="1" customWidth="1"/>
    <col min="6" max="6" width="19.42578125" customWidth="1"/>
    <col min="7" max="7" width="21.140625" bestFit="1" customWidth="1"/>
    <col min="8" max="8" width="17" bestFit="1" customWidth="1"/>
    <col min="9" max="9" width="20.140625" bestFit="1" customWidth="1"/>
    <col min="10" max="10" width="9.42578125" bestFit="1" customWidth="1"/>
    <col min="11" max="11" width="17.42578125" bestFit="1" customWidth="1"/>
    <col min="12" max="12" width="17" bestFit="1" customWidth="1"/>
    <col min="13" max="13" width="12.140625" bestFit="1" customWidth="1"/>
    <col min="14" max="14" width="7.42578125" bestFit="1" customWidth="1"/>
    <col min="15" max="15" width="7.7109375" bestFit="1" customWidth="1"/>
    <col min="16" max="16" width="7.42578125" bestFit="1" customWidth="1"/>
    <col min="17" max="17" width="7.42578125" customWidth="1"/>
    <col min="18" max="18" width="10.7109375" bestFit="1" customWidth="1"/>
    <col min="19" max="20" width="13.28515625" bestFit="1" customWidth="1"/>
    <col min="21" max="21" width="6.42578125" bestFit="1" customWidth="1"/>
    <col min="22" max="22" width="9.140625" bestFit="1" customWidth="1"/>
    <col min="23" max="23" width="12.140625" bestFit="1" customWidth="1"/>
    <col min="24" max="24" width="10" bestFit="1" customWidth="1"/>
    <col min="25" max="25" width="14.42578125" bestFit="1" customWidth="1"/>
    <col min="26" max="26" width="18.140625" bestFit="1" customWidth="1"/>
    <col min="27" max="27" width="18" bestFit="1" customWidth="1"/>
    <col min="28" max="28" width="11.7109375" bestFit="1" customWidth="1"/>
    <col min="29" max="29" width="19.42578125" bestFit="1" customWidth="1"/>
    <col min="30" max="30" width="24.140625" bestFit="1" customWidth="1"/>
    <col min="31" max="31" width="7.42578125" bestFit="1" customWidth="1"/>
    <col min="32" max="32" width="7.7109375" bestFit="1" customWidth="1"/>
    <col min="33" max="33" width="7.42578125" bestFit="1" customWidth="1"/>
    <col min="34" max="34" width="11.85546875" bestFit="1" customWidth="1"/>
    <col min="36" max="36" width="10" bestFit="1" customWidth="1"/>
  </cols>
  <sheetData>
    <row r="1" spans="1:36" ht="16.5" thickBot="1" x14ac:dyDescent="0.3">
      <c r="A1" s="97" t="s">
        <v>1368</v>
      </c>
      <c r="B1" s="98"/>
      <c r="C1" s="99"/>
    </row>
    <row r="2" spans="1:36" ht="17.25" thickTop="1" thickBot="1" x14ac:dyDescent="0.3">
      <c r="A2" s="104" t="s">
        <v>1370</v>
      </c>
      <c r="B2" s="105"/>
      <c r="C2" s="52">
        <v>40950</v>
      </c>
      <c r="E2" s="110" t="s">
        <v>1686</v>
      </c>
      <c r="G2" s="111" t="s">
        <v>1388</v>
      </c>
      <c r="H2" s="112"/>
      <c r="I2" s="112"/>
      <c r="J2" s="112"/>
      <c r="K2" s="112"/>
      <c r="L2" s="113"/>
    </row>
    <row r="3" spans="1:36" ht="13.5" thickBot="1" x14ac:dyDescent="0.25">
      <c r="A3" s="104" t="s">
        <v>1369</v>
      </c>
      <c r="B3" s="105"/>
      <c r="C3" s="53">
        <v>0.63541666666666663</v>
      </c>
      <c r="E3" s="109"/>
      <c r="G3" s="29" t="s">
        <v>64</v>
      </c>
      <c r="H3" s="30" t="s">
        <v>122</v>
      </c>
      <c r="I3" s="36" t="s">
        <v>1333</v>
      </c>
      <c r="J3" s="30" t="s">
        <v>119</v>
      </c>
      <c r="K3" s="31" t="s">
        <v>87</v>
      </c>
      <c r="L3" s="32" t="s">
        <v>57</v>
      </c>
    </row>
    <row r="4" spans="1:36" ht="14.25" thickTop="1" thickBot="1" x14ac:dyDescent="0.25">
      <c r="A4" s="104" t="s">
        <v>1371</v>
      </c>
      <c r="B4" s="105"/>
      <c r="C4" s="53" t="s">
        <v>121</v>
      </c>
      <c r="E4" s="109"/>
      <c r="G4" s="33">
        <f>INDEX(Logger!$A$1:$L$500,MATCH(CONCATENATE(C5,C6,C7),Logger!$L$1:$L$200,0),1)</f>
        <v>17</v>
      </c>
      <c r="H4" s="34" t="str">
        <f>C8</f>
        <v>Odyssey</v>
      </c>
      <c r="I4" s="51">
        <f>C2+C3</f>
        <v>40950.635416666664</v>
      </c>
      <c r="J4" s="34" t="str">
        <f>C4</f>
        <v>-5:00</v>
      </c>
      <c r="K4" s="34">
        <f>INDEX(Logger!$A$1:$L$500,MATCH(C9,People!$B$1:$B$100,0),1)</f>
        <v>17</v>
      </c>
      <c r="L4" s="35" t="str">
        <f>IF(C10="","",C10)</f>
        <v/>
      </c>
    </row>
    <row r="5" spans="1:36" x14ac:dyDescent="0.2">
      <c r="A5" s="104" t="s">
        <v>1374</v>
      </c>
      <c r="B5" s="105"/>
      <c r="C5" s="54" t="s">
        <v>1426</v>
      </c>
    </row>
    <row r="6" spans="1:36" ht="13.5" thickBot="1" x14ac:dyDescent="0.25">
      <c r="A6" s="104" t="s">
        <v>1375</v>
      </c>
      <c r="B6" s="105"/>
      <c r="C6" s="58" t="s">
        <v>1424</v>
      </c>
      <c r="E6" s="60"/>
    </row>
    <row r="7" spans="1:36" x14ac:dyDescent="0.2">
      <c r="A7" s="104" t="s">
        <v>1376</v>
      </c>
      <c r="B7" s="105"/>
      <c r="C7" s="54">
        <v>41048</v>
      </c>
      <c r="G7" s="79" t="s">
        <v>1687</v>
      </c>
      <c r="H7" s="81">
        <v>17</v>
      </c>
    </row>
    <row r="8" spans="1:36" ht="13.5" thickBot="1" x14ac:dyDescent="0.25">
      <c r="A8" s="114" t="s">
        <v>1382</v>
      </c>
      <c r="B8" s="115"/>
      <c r="C8" s="58" t="s">
        <v>1426</v>
      </c>
      <c r="E8" s="109" t="s">
        <v>1670</v>
      </c>
      <c r="G8" s="80" t="s">
        <v>1688</v>
      </c>
      <c r="H8" s="82">
        <f>H7+C12-1</f>
        <v>18</v>
      </c>
    </row>
    <row r="9" spans="1:36" x14ac:dyDescent="0.2">
      <c r="A9" s="104" t="s">
        <v>1372</v>
      </c>
      <c r="B9" s="105"/>
      <c r="C9" s="58" t="s">
        <v>1534</v>
      </c>
      <c r="E9" s="109"/>
    </row>
    <row r="10" spans="1:36" ht="13.5" thickBot="1" x14ac:dyDescent="0.25">
      <c r="A10" s="100" t="s">
        <v>1373</v>
      </c>
      <c r="B10" s="101"/>
      <c r="C10" s="55"/>
      <c r="E10" s="109"/>
    </row>
    <row r="11" spans="1:36" ht="13.5" thickBot="1" x14ac:dyDescent="0.25">
      <c r="C11" s="56"/>
      <c r="E11" s="109"/>
    </row>
    <row r="12" spans="1:36" ht="13.5" thickBot="1" x14ac:dyDescent="0.25">
      <c r="A12" s="102" t="s">
        <v>1381</v>
      </c>
      <c r="B12" s="103"/>
      <c r="C12" s="57">
        <v>2</v>
      </c>
      <c r="E12" s="109"/>
    </row>
    <row r="14" spans="1:36" ht="13.5" thickBot="1" x14ac:dyDescent="0.25"/>
    <row r="15" spans="1:36" ht="16.5" thickBot="1" x14ac:dyDescent="0.3">
      <c r="A15" s="106" t="s">
        <v>1677</v>
      </c>
      <c r="B15" s="107"/>
      <c r="C15" s="107"/>
      <c r="D15" s="107"/>
      <c r="E15" s="107"/>
      <c r="F15" s="107"/>
      <c r="G15" s="107"/>
      <c r="H15" s="107"/>
      <c r="I15" s="107"/>
      <c r="J15" s="107"/>
      <c r="K15" s="107"/>
      <c r="L15" s="107"/>
      <c r="M15" s="107"/>
      <c r="N15" s="107"/>
      <c r="O15" s="107"/>
      <c r="P15" s="107"/>
      <c r="Q15" s="107"/>
      <c r="R15" s="107"/>
      <c r="S15" s="108"/>
      <c r="U15" s="106" t="s">
        <v>1407</v>
      </c>
      <c r="V15" s="107"/>
      <c r="W15" s="107"/>
      <c r="X15" s="107"/>
      <c r="Y15" s="107"/>
      <c r="Z15" s="107"/>
      <c r="AA15" s="107"/>
      <c r="AB15" s="107"/>
      <c r="AC15" s="107"/>
      <c r="AD15" s="107"/>
      <c r="AE15" s="107"/>
      <c r="AF15" s="107"/>
      <c r="AG15" s="107"/>
      <c r="AH15" s="107"/>
      <c r="AI15" s="107"/>
      <c r="AJ15" s="108"/>
    </row>
    <row r="16" spans="1:36" ht="13.5" thickBot="1" x14ac:dyDescent="0.25">
      <c r="A16" s="24" t="s">
        <v>1383</v>
      </c>
      <c r="B16" s="25" t="s">
        <v>0</v>
      </c>
      <c r="C16" s="84" t="s">
        <v>1690</v>
      </c>
      <c r="D16" s="25" t="s">
        <v>3</v>
      </c>
      <c r="E16" s="25" t="s">
        <v>76</v>
      </c>
      <c r="F16" s="25" t="s">
        <v>77</v>
      </c>
      <c r="G16" s="25" t="s">
        <v>1384</v>
      </c>
      <c r="H16" s="25" t="s">
        <v>1403</v>
      </c>
      <c r="I16" s="28" t="s">
        <v>1390</v>
      </c>
      <c r="J16" s="25" t="s">
        <v>1385</v>
      </c>
      <c r="K16" s="25" t="s">
        <v>1365</v>
      </c>
      <c r="L16" s="25" t="s">
        <v>1386</v>
      </c>
      <c r="M16" s="25" t="s">
        <v>1387</v>
      </c>
      <c r="N16" s="25" t="s">
        <v>1378</v>
      </c>
      <c r="O16" s="25" t="s">
        <v>1692</v>
      </c>
      <c r="P16" s="25" t="s">
        <v>1691</v>
      </c>
      <c r="Q16" s="25" t="s">
        <v>1380</v>
      </c>
      <c r="R16" s="25" t="s">
        <v>86</v>
      </c>
      <c r="S16" s="26" t="s">
        <v>57</v>
      </c>
      <c r="U16" s="69" t="s">
        <v>1358</v>
      </c>
      <c r="V16" s="25" t="s">
        <v>1357</v>
      </c>
      <c r="W16" s="84" t="s">
        <v>1689</v>
      </c>
      <c r="X16" s="25" t="s">
        <v>1356</v>
      </c>
      <c r="Y16" s="25" t="s">
        <v>1354</v>
      </c>
      <c r="Z16" s="25" t="s">
        <v>1355</v>
      </c>
      <c r="AA16" s="25" t="s">
        <v>116</v>
      </c>
      <c r="AB16" s="25" t="s">
        <v>112</v>
      </c>
      <c r="AC16" s="25" t="s">
        <v>1364</v>
      </c>
      <c r="AD16" s="25" t="s">
        <v>1361</v>
      </c>
      <c r="AE16" s="25" t="s">
        <v>110</v>
      </c>
      <c r="AF16" s="25" t="s">
        <v>84</v>
      </c>
      <c r="AG16" s="25" t="s">
        <v>134</v>
      </c>
      <c r="AH16" s="25" t="s">
        <v>85</v>
      </c>
      <c r="AI16" s="25" t="s">
        <v>1406</v>
      </c>
      <c r="AJ16" s="72" t="s">
        <v>57</v>
      </c>
    </row>
    <row r="17" spans="1:38" ht="13.5" thickTop="1" x14ac:dyDescent="0.2">
      <c r="A17" s="68">
        <v>1</v>
      </c>
      <c r="B17" s="63" t="s">
        <v>1420</v>
      </c>
      <c r="C17" s="63"/>
      <c r="D17" s="63" t="s">
        <v>1425</v>
      </c>
      <c r="E17" s="63" t="s">
        <v>1426</v>
      </c>
      <c r="F17" s="63" t="s">
        <v>1424</v>
      </c>
      <c r="G17" s="63">
        <v>41048</v>
      </c>
      <c r="H17" s="63" t="s">
        <v>168</v>
      </c>
      <c r="I17" s="63" t="s">
        <v>1439</v>
      </c>
      <c r="J17" s="63" t="s">
        <v>446</v>
      </c>
      <c r="K17" s="63" t="s">
        <v>49</v>
      </c>
      <c r="L17" s="63">
        <v>0</v>
      </c>
      <c r="M17" s="63" t="s">
        <v>377</v>
      </c>
      <c r="N17" s="63" t="s">
        <v>113</v>
      </c>
      <c r="O17" s="63"/>
      <c r="P17" s="63"/>
      <c r="Q17" s="64"/>
      <c r="R17" s="64"/>
      <c r="S17" s="65"/>
      <c r="U17" s="66">
        <f>IF(A17="","",INDEX(Deployment!$A$2:$A$500,MATCH(CONCATENATE($G$4,$H$4,$I$4),Deployment!$L$2:$L$500,0),1))</f>
        <v>47</v>
      </c>
      <c r="V17" s="19">
        <f>IF(A17="","",INDEX(Sites!$A$4:$A$51,MATCH(B17,Sites!$B$4:$B$51,0),1))</f>
        <v>14</v>
      </c>
      <c r="W17" s="19"/>
      <c r="X17" s="19">
        <f>IF(A17="","",INDEX(Sensors!$A$2:$A$500,MATCH(CONCATENATE(E17,F17,G17),Sensors!$K$2:$K$500,0),1))</f>
        <v>17</v>
      </c>
      <c r="Y17" s="19">
        <f>IF(A17="","",INDEX(Variables!$A$2:$A$500,MATCH(I17,Variables!$B$2:$B$500,0),1))</f>
        <v>253</v>
      </c>
      <c r="Z17" s="19">
        <f>IF(A17="","",INDEX(UnitsCV!$A$2:$A$500,MATCH(J17,UnitsCV!$B$2:$B$500,0),1))</f>
        <v>137</v>
      </c>
      <c r="AA17" s="19">
        <f t="shared" ref="AA17:AA64" si="0">IF(A17="","",A17)</f>
        <v>1</v>
      </c>
      <c r="AB17" s="19">
        <f t="shared" ref="AB17:AB64" si="1">IF(A17="","",L17)</f>
        <v>0</v>
      </c>
      <c r="AC17" s="19">
        <f>IF(A17="","",INDEX(DataTypeCV!$A$2:$A$50,MATCH(K17,DataTypeCV!$B$2:$B$50,0),1))</f>
        <v>1</v>
      </c>
      <c r="AD17" s="19">
        <f>IF(A17="","",INDEX(UnitsCV!$A$2:$A$500,MATCH(M17,UnitsCV!$B$2:$B$500,0),1))</f>
        <v>102</v>
      </c>
      <c r="AE17" s="19" t="str">
        <f t="shared" ref="AE17:AE64" si="2">IF(A17="","",N17)</f>
        <v>Water</v>
      </c>
      <c r="AF17" s="19" t="str">
        <f t="shared" ref="AF17:AH23" si="3">IF(O17="","",O17)</f>
        <v/>
      </c>
      <c r="AG17" s="19" t="str">
        <f t="shared" si="3"/>
        <v/>
      </c>
      <c r="AH17" s="19" t="str">
        <f t="shared" si="3"/>
        <v/>
      </c>
      <c r="AI17" s="63" t="str">
        <f>IF(S17="","",INDEX(UnitsCV!$A$2:$A$500,MATCH(S17,UnitsCV!$B$2:$B$500,0),1))</f>
        <v/>
      </c>
      <c r="AJ17" s="65" t="str">
        <f>IF(G17="","",IF(S17="","",S17))</f>
        <v/>
      </c>
      <c r="AL17" t="str">
        <f>CONCATENATE(U17,V17,W17,X17,Y17,Z17,AA17,AB17,AC17,AD17,AE17,AF17,AG17,AH17,AI17,AJ17)</f>
        <v>471417253137101102Water</v>
      </c>
    </row>
    <row r="18" spans="1:38" x14ac:dyDescent="0.2">
      <c r="A18" s="22">
        <f t="shared" ref="A18:A64" si="4">IF(A17="","",IF(A17+1&gt;$C$12,"",A17+1))</f>
        <v>2</v>
      </c>
      <c r="B18" s="19" t="s">
        <v>1420</v>
      </c>
      <c r="C18" s="19"/>
      <c r="D18" s="19" t="s">
        <v>1425</v>
      </c>
      <c r="E18" s="19" t="s">
        <v>1426</v>
      </c>
      <c r="F18" s="19" t="s">
        <v>1424</v>
      </c>
      <c r="G18" s="19">
        <v>41048</v>
      </c>
      <c r="H18" s="19" t="s">
        <v>267</v>
      </c>
      <c r="I18" s="19" t="s">
        <v>1307</v>
      </c>
      <c r="J18" s="19" t="s">
        <v>280</v>
      </c>
      <c r="K18" s="19" t="s">
        <v>49</v>
      </c>
      <c r="L18" s="19">
        <v>0</v>
      </c>
      <c r="M18" s="19" t="s">
        <v>377</v>
      </c>
      <c r="N18" s="19" t="s">
        <v>113</v>
      </c>
      <c r="O18" s="19"/>
      <c r="P18" s="19"/>
      <c r="Q18" s="19"/>
      <c r="R18" s="19"/>
      <c r="S18" s="18"/>
      <c r="U18" s="66">
        <f>IF(A18="","",INDEX(Deployment!$A$2:$A$500,MATCH(CONCATENATE($G$4,$H$4,$I$4),Deployment!$L$2:$L$500,0),1))</f>
        <v>47</v>
      </c>
      <c r="V18" s="19">
        <f>IF(A18="","",INDEX(Sites!$A$4:$A$51,MATCH(B18,Sites!$B$4:$B$51,0),1))</f>
        <v>14</v>
      </c>
      <c r="W18" s="19"/>
      <c r="X18" s="19">
        <f>IF(A18="","",INDEX(Sensors!$A$2:$A$500,MATCH(CONCATENATE(E18,F18,G18),Sensors!$K$2:$K$500,0),1))</f>
        <v>17</v>
      </c>
      <c r="Y18" s="19">
        <f>IF(A18="","",INDEX(Variables!$A$2:$A$500,MATCH(I18,Variables!$B$2:$B$500,0),1))</f>
        <v>238</v>
      </c>
      <c r="Z18" s="19">
        <f>IF(A18="","",INDEX(UnitsCV!$A$2:$A$500,MATCH(J18,UnitsCV!$B$2:$B$500,0),1))</f>
        <v>54</v>
      </c>
      <c r="AA18" s="19">
        <f t="shared" si="0"/>
        <v>2</v>
      </c>
      <c r="AB18" s="19">
        <f t="shared" si="1"/>
        <v>0</v>
      </c>
      <c r="AC18" s="19">
        <f>IF(A18="","",INDEX(DataTypeCV!$A$2:$A$50,MATCH(K18,DataTypeCV!$B$2:$B$50,0),1))</f>
        <v>1</v>
      </c>
      <c r="AD18" s="19">
        <f>IF(A18="","",INDEX(UnitsCV!$A$2:$A$500,MATCH(M18,UnitsCV!$B$2:$B$500,0),1))</f>
        <v>102</v>
      </c>
      <c r="AE18" s="19" t="str">
        <f t="shared" si="2"/>
        <v>Water</v>
      </c>
      <c r="AF18" s="19" t="str">
        <f t="shared" si="3"/>
        <v/>
      </c>
      <c r="AG18" s="19" t="str">
        <f t="shared" si="3"/>
        <v/>
      </c>
      <c r="AH18" s="19" t="str">
        <f t="shared" si="3"/>
        <v/>
      </c>
      <c r="AI18" s="19" t="str">
        <f>IF(S18="","",INDEX(UnitsCV!$A$2:$A$500,MATCH(S18,UnitsCV!$B$2:$B$500,0),1))</f>
        <v/>
      </c>
      <c r="AJ18" s="18" t="str">
        <f t="shared" ref="AJ18:AJ64" si="5">IF(G18="","",IF(S18="","",S18))</f>
        <v/>
      </c>
      <c r="AL18" t="str">
        <f>CONCATENATE(U18,V18,W18,X18,Y18,Z18,AA18,AB18,AC18,AD18,AE18,AF18,AG18,AH18,AI18,AJ18)</f>
        <v>47141723854201102Water</v>
      </c>
    </row>
    <row r="19" spans="1:38" x14ac:dyDescent="0.2">
      <c r="A19" s="22" t="str">
        <f t="shared" si="4"/>
        <v/>
      </c>
      <c r="B19" s="19"/>
      <c r="C19" s="19"/>
      <c r="D19" s="19"/>
      <c r="E19" s="19"/>
      <c r="F19" s="19"/>
      <c r="G19" s="19"/>
      <c r="H19" s="19"/>
      <c r="I19" s="19"/>
      <c r="J19" s="19"/>
      <c r="K19" s="19"/>
      <c r="L19" s="19"/>
      <c r="M19" s="19"/>
      <c r="N19" s="19"/>
      <c r="O19" s="19"/>
      <c r="P19" s="19"/>
      <c r="Q19" s="19"/>
      <c r="R19" s="19"/>
      <c r="S19" s="18"/>
      <c r="U19" s="66" t="str">
        <f>IF(A19="","",INDEX(Deployment!$A$2:$A$500,MATCH(CONCATENATE($G$4,$H$4,$I$4),Deployment!$L$2:$L$500,0),1))</f>
        <v/>
      </c>
      <c r="V19" s="19" t="str">
        <f>IF(A19="","",INDEX(Sites!$A$4:$A$51,MATCH(B19,Sites!$B$4:$B$51,0),1))</f>
        <v/>
      </c>
      <c r="W19" s="19"/>
      <c r="X19" s="19" t="str">
        <f>IF(A19="","",INDEX(Sensors!$A$2:$A$500,MATCH(CONCATENATE(E19,F19,G19),Sensors!$K$2:$K$500,0),1))</f>
        <v/>
      </c>
      <c r="Y19" s="19" t="str">
        <f>IF(A19="","",INDEX(Variables!$A$2:$A$500,MATCH(I19,Variables!$B$2:$B$500,0),1))</f>
        <v/>
      </c>
      <c r="Z19" s="19" t="str">
        <f>IF(A19="","",INDEX(UnitsCV!$A$2:$A$500,MATCH(J19,UnitsCV!$B$2:$B$500,0),1))</f>
        <v/>
      </c>
      <c r="AA19" s="19" t="str">
        <f t="shared" si="0"/>
        <v/>
      </c>
      <c r="AB19" s="19" t="str">
        <f t="shared" si="1"/>
        <v/>
      </c>
      <c r="AC19" s="19" t="str">
        <f>IF(A19="","",INDEX(DataTypeCV!$A$2:$A$50,MATCH(K19,DataTypeCV!$B$2:$B$50,0),1))</f>
        <v/>
      </c>
      <c r="AD19" s="19" t="str">
        <f>IF(A19="","",INDEX(UnitsCV!$A$2:$A$500,MATCH(M19,UnitsCV!$B$2:$B$500,0),1))</f>
        <v/>
      </c>
      <c r="AE19" s="19" t="str">
        <f t="shared" si="2"/>
        <v/>
      </c>
      <c r="AF19" s="19" t="str">
        <f t="shared" si="3"/>
        <v/>
      </c>
      <c r="AG19" s="19" t="str">
        <f t="shared" si="3"/>
        <v/>
      </c>
      <c r="AH19" s="19" t="str">
        <f t="shared" si="3"/>
        <v/>
      </c>
      <c r="AI19" s="19" t="str">
        <f>IF(S19="","",INDEX(UnitsCV!$A$2:$A$500,MATCH(S19,UnitsCV!$B$2:$B$500,0),1))</f>
        <v/>
      </c>
      <c r="AJ19" s="18" t="str">
        <f t="shared" si="5"/>
        <v/>
      </c>
      <c r="AL19" t="str">
        <f t="shared" ref="AL19:AL64" si="6">CONCATENATE(U19,V19,X19,Y19,Z19,AA19,AB19,AC19,AD19,AE19,AF19,AG19,AH19,AI19,AJ19)</f>
        <v/>
      </c>
    </row>
    <row r="20" spans="1:38" x14ac:dyDescent="0.2">
      <c r="A20" s="22" t="str">
        <f t="shared" si="4"/>
        <v/>
      </c>
      <c r="B20" s="19"/>
      <c r="C20" s="19"/>
      <c r="D20" s="19"/>
      <c r="E20" s="19"/>
      <c r="F20" s="19"/>
      <c r="G20" s="19"/>
      <c r="H20" s="71"/>
      <c r="I20" s="19"/>
      <c r="J20" s="19"/>
      <c r="K20" s="19"/>
      <c r="L20" s="19"/>
      <c r="M20" s="19"/>
      <c r="N20" s="19"/>
      <c r="O20" s="19"/>
      <c r="P20" s="19"/>
      <c r="Q20" s="19"/>
      <c r="R20" s="19"/>
      <c r="S20" s="18"/>
      <c r="U20" s="66" t="str">
        <f>IF(A20="","",INDEX(Deployment!$A$2:$A$500,MATCH(CONCATENATE($G$4,$H$4,$I$4),Deployment!$L$2:$L$500,0),1))</f>
        <v/>
      </c>
      <c r="V20" s="19" t="str">
        <f>IF(A20="","",INDEX(Sites!$A$4:$A$51,MATCH(B20,Sites!$B$4:$B$51,0),1))</f>
        <v/>
      </c>
      <c r="W20" s="19"/>
      <c r="X20" s="19" t="str">
        <f>IF(A20="","",INDEX(Sensors!$A$2:$A$500,MATCH(CONCATENATE(E20,F20,G20),Sensors!$K$2:$K$500,0),1))</f>
        <v/>
      </c>
      <c r="Y20" s="19" t="str">
        <f>IF(A20="","",INDEX(Variables!$A$2:$A$500,MATCH(I20,Variables!$B$2:$B$500,0),1))</f>
        <v/>
      </c>
      <c r="Z20" s="19" t="str">
        <f>IF(A20="","",INDEX(UnitsCV!$A$2:$A$500,MATCH(J20,UnitsCV!$B$2:$B$500,0),1))</f>
        <v/>
      </c>
      <c r="AA20" s="19" t="str">
        <f t="shared" si="0"/>
        <v/>
      </c>
      <c r="AB20" s="19" t="str">
        <f t="shared" si="1"/>
        <v/>
      </c>
      <c r="AC20" s="19" t="str">
        <f>IF(A20="","",INDEX(DataTypeCV!$A$2:$A$50,MATCH(K20,DataTypeCV!$B$2:$B$50,0),1))</f>
        <v/>
      </c>
      <c r="AD20" s="19" t="str">
        <f>IF(A20="","",INDEX(UnitsCV!$A$2:$A$500,MATCH(M20,UnitsCV!$B$2:$B$500,0),1))</f>
        <v/>
      </c>
      <c r="AE20" s="19" t="str">
        <f t="shared" si="2"/>
        <v/>
      </c>
      <c r="AF20" s="19" t="str">
        <f t="shared" si="3"/>
        <v/>
      </c>
      <c r="AG20" s="19" t="str">
        <f t="shared" si="3"/>
        <v/>
      </c>
      <c r="AH20" s="19" t="str">
        <f t="shared" si="3"/>
        <v/>
      </c>
      <c r="AI20" s="19" t="str">
        <f>IF(S20="","",INDEX(UnitsCV!$A$2:$A$500,MATCH(S20,UnitsCV!$B$2:$B$500,0),1))</f>
        <v/>
      </c>
      <c r="AJ20" s="18" t="str">
        <f t="shared" si="5"/>
        <v/>
      </c>
      <c r="AL20" t="str">
        <f t="shared" si="6"/>
        <v/>
      </c>
    </row>
    <row r="21" spans="1:38" x14ac:dyDescent="0.2">
      <c r="A21" s="22" t="str">
        <f t="shared" si="4"/>
        <v/>
      </c>
      <c r="B21" s="19"/>
      <c r="C21" s="19"/>
      <c r="D21" s="19"/>
      <c r="E21" s="19"/>
      <c r="F21" s="19"/>
      <c r="G21" s="19"/>
      <c r="H21" s="19"/>
      <c r="I21" s="19"/>
      <c r="J21" s="19"/>
      <c r="K21" s="19"/>
      <c r="L21" s="19"/>
      <c r="M21" s="19"/>
      <c r="N21" s="19"/>
      <c r="O21" s="19"/>
      <c r="P21" s="19"/>
      <c r="Q21" s="19"/>
      <c r="R21" s="19"/>
      <c r="S21" s="18"/>
      <c r="U21" s="66" t="str">
        <f>IF(A21="","",INDEX(Deployment!$A$2:$A$500,MATCH(CONCATENATE($G$4,$H$4,$I$4),Deployment!$L$2:$L$500,0),1))</f>
        <v/>
      </c>
      <c r="V21" s="19" t="str">
        <f>IF(A21="","",INDEX(Sites!$A$4:$A$51,MATCH(B21,Sites!$B$4:$B$51,0),1))</f>
        <v/>
      </c>
      <c r="W21" s="19"/>
      <c r="X21" s="19" t="str">
        <f>IF(A21="","",INDEX(Sensors!$A$2:$A$500,MATCH(CONCATENATE(E21,F21,G21),Sensors!$K$2:$K$500,0),1))</f>
        <v/>
      </c>
      <c r="Y21" s="19" t="str">
        <f>IF(A21="","",INDEX(Variables!$A$2:$A$500,MATCH(I21,Variables!$B$2:$B$500,0),1))</f>
        <v/>
      </c>
      <c r="Z21" s="19" t="str">
        <f>IF(A21="","",INDEX(UnitsCV!$A$2:$A$500,MATCH(J21,UnitsCV!$B$2:$B$500,0),1))</f>
        <v/>
      </c>
      <c r="AA21" s="19" t="str">
        <f t="shared" si="0"/>
        <v/>
      </c>
      <c r="AB21" s="19" t="str">
        <f t="shared" si="1"/>
        <v/>
      </c>
      <c r="AC21" s="19" t="str">
        <f>IF(A21="","",INDEX(DataTypeCV!$A$2:$A$50,MATCH(K21,DataTypeCV!$B$2:$B$50,0),1))</f>
        <v/>
      </c>
      <c r="AD21" s="19" t="str">
        <f>IF(A21="","",INDEX(UnitsCV!$A$2:$A$500,MATCH(M21,UnitsCV!$B$2:$B$500,0),1))</f>
        <v/>
      </c>
      <c r="AE21" s="19" t="str">
        <f t="shared" si="2"/>
        <v/>
      </c>
      <c r="AF21" s="19" t="str">
        <f t="shared" si="3"/>
        <v/>
      </c>
      <c r="AG21" s="19" t="str">
        <f t="shared" si="3"/>
        <v/>
      </c>
      <c r="AH21" s="19" t="str">
        <f t="shared" si="3"/>
        <v/>
      </c>
      <c r="AI21" s="19" t="str">
        <f>IF(S21="","",INDEX(UnitsCV!$A$2:$A$500,MATCH(S21,UnitsCV!$B$2:$B$500,0),1))</f>
        <v/>
      </c>
      <c r="AJ21" s="18" t="str">
        <f t="shared" si="5"/>
        <v/>
      </c>
      <c r="AL21" t="str">
        <f t="shared" si="6"/>
        <v/>
      </c>
    </row>
    <row r="22" spans="1:38" x14ac:dyDescent="0.2">
      <c r="A22" s="22" t="str">
        <f t="shared" si="4"/>
        <v/>
      </c>
      <c r="B22" s="19"/>
      <c r="C22" s="19"/>
      <c r="D22" s="19"/>
      <c r="E22" s="19"/>
      <c r="F22" s="19"/>
      <c r="G22" s="19"/>
      <c r="H22" s="19"/>
      <c r="I22" s="19"/>
      <c r="J22" s="19"/>
      <c r="K22" s="19"/>
      <c r="L22" s="19"/>
      <c r="M22" s="19"/>
      <c r="N22" s="19"/>
      <c r="O22" s="19"/>
      <c r="P22" s="19"/>
      <c r="Q22" s="19"/>
      <c r="R22" s="19"/>
      <c r="S22" s="18"/>
      <c r="U22" s="66" t="str">
        <f>IF(A22="","",INDEX(Deployment!$A$2:$A$500,MATCH(CONCATENATE($G$4,$H$4,$I$4),Deployment!$L$2:$L$500,0),1))</f>
        <v/>
      </c>
      <c r="V22" s="19" t="str">
        <f>IF(A22="","",INDEX(Sites!$A$4:$A$51,MATCH(B22,Sites!$B$4:$B$51,0),1))</f>
        <v/>
      </c>
      <c r="W22" s="19"/>
      <c r="X22" s="19" t="str">
        <f>IF(A22="","",INDEX(Sensors!$A$2:$A$500,MATCH(CONCATENATE(E22,F22,G22),Sensors!$K$2:$K$500,0),1))</f>
        <v/>
      </c>
      <c r="Y22" s="19" t="str">
        <f>IF(A22="","",INDEX(Variables!$A$2:$A$500,MATCH(I22,Variables!$B$2:$B$500,0),1))</f>
        <v/>
      </c>
      <c r="Z22" s="19" t="str">
        <f>IF(A22="","",INDEX(UnitsCV!$A$2:$A$500,MATCH(J22,UnitsCV!$B$2:$B$500,0),1))</f>
        <v/>
      </c>
      <c r="AA22" s="19" t="str">
        <f t="shared" si="0"/>
        <v/>
      </c>
      <c r="AB22" s="19" t="str">
        <f t="shared" si="1"/>
        <v/>
      </c>
      <c r="AC22" s="19" t="str">
        <f>IF(A22="","",INDEX(DataTypeCV!$A$2:$A$50,MATCH(K22,DataTypeCV!$B$2:$B$50,0),1))</f>
        <v/>
      </c>
      <c r="AD22" s="19" t="str">
        <f>IF(A22="","",INDEX(UnitsCV!$A$2:$A$500,MATCH(M22,UnitsCV!$B$2:$B$500,0),1))</f>
        <v/>
      </c>
      <c r="AE22" s="19" t="str">
        <f t="shared" si="2"/>
        <v/>
      </c>
      <c r="AF22" s="19" t="str">
        <f t="shared" si="3"/>
        <v/>
      </c>
      <c r="AG22" s="19" t="str">
        <f t="shared" si="3"/>
        <v/>
      </c>
      <c r="AH22" s="19" t="str">
        <f t="shared" si="3"/>
        <v/>
      </c>
      <c r="AI22" s="19" t="str">
        <f>IF(S22="","",INDEX(UnitsCV!$A$2:$A$500,MATCH(S22,UnitsCV!$B$2:$B$500,0),1))</f>
        <v/>
      </c>
      <c r="AJ22" s="18" t="str">
        <f t="shared" si="5"/>
        <v/>
      </c>
      <c r="AL22" t="str">
        <f t="shared" si="6"/>
        <v/>
      </c>
    </row>
    <row r="23" spans="1:38" x14ac:dyDescent="0.2">
      <c r="A23" s="22" t="str">
        <f t="shared" si="4"/>
        <v/>
      </c>
      <c r="B23" s="19"/>
      <c r="C23" s="19"/>
      <c r="D23" s="19"/>
      <c r="E23" s="19"/>
      <c r="F23" s="19"/>
      <c r="G23" s="19"/>
      <c r="H23" s="19"/>
      <c r="I23" s="19"/>
      <c r="J23" s="19"/>
      <c r="K23" s="19"/>
      <c r="L23" s="19"/>
      <c r="M23" s="19"/>
      <c r="N23" s="19"/>
      <c r="O23" s="19"/>
      <c r="P23" s="19"/>
      <c r="Q23" s="19"/>
      <c r="R23" s="19"/>
      <c r="S23" s="18"/>
      <c r="U23" s="66" t="str">
        <f>IF(A23="","",INDEX(Deployment!$A$2:$A$500,MATCH(CONCATENATE($G$4,$H$4,$I$4),Deployment!$L$2:$L$500,0),1))</f>
        <v/>
      </c>
      <c r="V23" s="19" t="str">
        <f>IF(A23="","",INDEX(Sites!$A$4:$A$51,MATCH(B23,Sites!$B$4:$B$51,0),1))</f>
        <v/>
      </c>
      <c r="W23" s="19"/>
      <c r="X23" s="19" t="str">
        <f>IF(A23="","",INDEX(Sensors!$A$2:$A$500,MATCH(CONCATENATE(E23,F23,G23),Sensors!$K$2:$K$500,0),1))</f>
        <v/>
      </c>
      <c r="Y23" s="19" t="str">
        <f>IF(A23="","",INDEX(Variables!$A$2:$A$500,MATCH(I23,Variables!$B$2:$B$500,0),1))</f>
        <v/>
      </c>
      <c r="Z23" s="19" t="str">
        <f>IF(A23="","",INDEX(UnitsCV!$A$2:$A$500,MATCH(J23,UnitsCV!$B$2:$B$500,0),1))</f>
        <v/>
      </c>
      <c r="AA23" s="19" t="str">
        <f t="shared" si="0"/>
        <v/>
      </c>
      <c r="AB23" s="19" t="str">
        <f t="shared" si="1"/>
        <v/>
      </c>
      <c r="AC23" s="19" t="str">
        <f>IF(A23="","",INDEX(DataTypeCV!$A$2:$A$50,MATCH(K23,DataTypeCV!$B$2:$B$50,0),1))</f>
        <v/>
      </c>
      <c r="AD23" s="19" t="str">
        <f>IF(A23="","",INDEX(UnitsCV!$A$2:$A$500,MATCH(M23,UnitsCV!$B$2:$B$500,0),1))</f>
        <v/>
      </c>
      <c r="AE23" s="19" t="str">
        <f t="shared" si="2"/>
        <v/>
      </c>
      <c r="AF23" s="19" t="str">
        <f t="shared" si="3"/>
        <v/>
      </c>
      <c r="AG23" s="19" t="str">
        <f t="shared" si="3"/>
        <v/>
      </c>
      <c r="AH23" s="19" t="str">
        <f t="shared" si="3"/>
        <v/>
      </c>
      <c r="AI23" s="19" t="str">
        <f>IF(S23="","",INDEX(UnitsCV!$A$2:$A$500,MATCH(S23,UnitsCV!$B$2:$B$500,0),1))</f>
        <v/>
      </c>
      <c r="AJ23" s="18" t="str">
        <f t="shared" si="5"/>
        <v/>
      </c>
      <c r="AL23" t="str">
        <f t="shared" si="6"/>
        <v/>
      </c>
    </row>
    <row r="24" spans="1:38" x14ac:dyDescent="0.2">
      <c r="A24" s="22" t="str">
        <f t="shared" si="4"/>
        <v/>
      </c>
      <c r="B24" s="19"/>
      <c r="C24" s="19"/>
      <c r="D24" s="19"/>
      <c r="E24" s="19"/>
      <c r="F24" s="19"/>
      <c r="G24" s="19"/>
      <c r="H24" s="19"/>
      <c r="I24" s="19"/>
      <c r="J24" s="19"/>
      <c r="K24" s="19"/>
      <c r="L24" s="19"/>
      <c r="M24" s="19"/>
      <c r="N24" s="19"/>
      <c r="O24" s="19"/>
      <c r="P24" s="19"/>
      <c r="Q24" s="19"/>
      <c r="R24" s="19"/>
      <c r="S24" s="18"/>
      <c r="U24" s="66" t="str">
        <f>IF(A24="","",INDEX(Deployment!$A$2:$A$500,MATCH(CONCATENATE($G$4,$H$4,$I$4),Deployment!$L$2:$L$500,0),1))</f>
        <v/>
      </c>
      <c r="V24" s="19" t="str">
        <f>IF(A24="","",INDEX(Sites!$A$4:$A$51,MATCH(B24,Sites!$B$4:$B$51,0),1))</f>
        <v/>
      </c>
      <c r="W24" s="19"/>
      <c r="X24" s="19" t="str">
        <f>IF(A24="","",INDEX(Sensors!$A$2:$A$500,MATCH(CONCATENATE(E24,F24,G24),Sensors!$K$2:$K$500,0),1))</f>
        <v/>
      </c>
      <c r="Y24" s="19" t="str">
        <f>IF(A24="","",INDEX(Variables!$A$2:$A$500,MATCH(I24,Variables!$B$2:$B$500,0),1))</f>
        <v/>
      </c>
      <c r="Z24" s="19" t="str">
        <f>IF(A24="","",INDEX(UnitsCV!$A$2:$A$500,MATCH(J24,UnitsCV!$B$2:$B$500,0),1))</f>
        <v/>
      </c>
      <c r="AA24" s="19" t="str">
        <f t="shared" si="0"/>
        <v/>
      </c>
      <c r="AB24" s="19" t="str">
        <f t="shared" si="1"/>
        <v/>
      </c>
      <c r="AC24" s="19" t="str">
        <f>IF(A24="","",INDEX(DataTypeCV!$A$2:$A$50,MATCH(K24,DataTypeCV!$B$2:$B$50,0),1))</f>
        <v/>
      </c>
      <c r="AD24" s="19" t="str">
        <f>IF(A24="","",INDEX(UnitsCV!$A$2:$A$500,MATCH(M24,UnitsCV!$B$2:$B$500,0),1))</f>
        <v/>
      </c>
      <c r="AE24" s="19" t="str">
        <f t="shared" si="2"/>
        <v/>
      </c>
      <c r="AF24" s="19" t="str">
        <f t="shared" ref="AF24:AF64" si="7">IF(O24="","",O24)</f>
        <v/>
      </c>
      <c r="AG24" s="19" t="str">
        <f t="shared" ref="AG24:AG64" si="8">IF(P24="","",P24)</f>
        <v/>
      </c>
      <c r="AH24" s="19" t="str">
        <f t="shared" ref="AH24:AH64" si="9">IF(Q24="","",Q24)</f>
        <v/>
      </c>
      <c r="AI24" s="19" t="str">
        <f>IF(S24="","",INDEX(UnitsCV!$A$2:$A$500,MATCH(S24,UnitsCV!$B$2:$B$500,0),1))</f>
        <v/>
      </c>
      <c r="AJ24" s="18" t="str">
        <f t="shared" si="5"/>
        <v/>
      </c>
      <c r="AL24" t="str">
        <f t="shared" si="6"/>
        <v/>
      </c>
    </row>
    <row r="25" spans="1:38" x14ac:dyDescent="0.2">
      <c r="A25" s="22" t="str">
        <f t="shared" si="4"/>
        <v/>
      </c>
      <c r="B25" s="19"/>
      <c r="C25" s="19"/>
      <c r="D25" s="19"/>
      <c r="E25" s="19"/>
      <c r="F25" s="19"/>
      <c r="G25" s="19"/>
      <c r="H25" s="19"/>
      <c r="I25" s="19"/>
      <c r="J25" s="19"/>
      <c r="K25" s="19"/>
      <c r="L25" s="19"/>
      <c r="M25" s="19"/>
      <c r="N25" s="19"/>
      <c r="O25" s="19"/>
      <c r="P25" s="19"/>
      <c r="Q25" s="19"/>
      <c r="R25" s="19"/>
      <c r="S25" s="18"/>
      <c r="U25" s="66" t="str">
        <f>IF(A25="","",INDEX(Deployment!$A$2:$A$500,MATCH(CONCATENATE($G$4,$H$4,$I$4),Deployment!$L$2:$L$500,0),1))</f>
        <v/>
      </c>
      <c r="V25" s="19" t="str">
        <f>IF(A25="","",INDEX(Sites!$A$4:$A$51,MATCH(B25,Sites!$B$4:$B$51,0),1))</f>
        <v/>
      </c>
      <c r="W25" s="19"/>
      <c r="X25" s="19" t="str">
        <f>IF(A25="","",INDEX(Sensors!$A$2:$A$500,MATCH(CONCATENATE(E25,F25,G25),Sensors!$K$2:$K$500,0),1))</f>
        <v/>
      </c>
      <c r="Y25" s="19" t="str">
        <f>IF(A25="","",INDEX(Variables!$A$2:$A$500,MATCH(I25,Variables!$B$2:$B$500,0),1))</f>
        <v/>
      </c>
      <c r="Z25" s="19" t="str">
        <f>IF(A25="","",INDEX(UnitsCV!$A$2:$A$500,MATCH(J25,UnitsCV!$B$2:$B$500,0),1))</f>
        <v/>
      </c>
      <c r="AA25" s="19" t="str">
        <f t="shared" si="0"/>
        <v/>
      </c>
      <c r="AB25" s="19" t="str">
        <f t="shared" si="1"/>
        <v/>
      </c>
      <c r="AC25" s="19" t="str">
        <f>IF(A25="","",INDEX(DataTypeCV!$A$2:$A$50,MATCH(K25,DataTypeCV!$B$2:$B$50,0),1))</f>
        <v/>
      </c>
      <c r="AD25" s="19" t="str">
        <f>IF(A25="","",INDEX(UnitsCV!$A$2:$A$500,MATCH(M25,UnitsCV!$B$2:$B$500,0),1))</f>
        <v/>
      </c>
      <c r="AE25" s="19" t="str">
        <f t="shared" si="2"/>
        <v/>
      </c>
      <c r="AF25" s="19" t="str">
        <f t="shared" si="7"/>
        <v/>
      </c>
      <c r="AG25" s="19" t="str">
        <f t="shared" si="8"/>
        <v/>
      </c>
      <c r="AH25" s="19" t="str">
        <f t="shared" si="9"/>
        <v/>
      </c>
      <c r="AI25" s="19" t="str">
        <f>IF(S25="","",INDEX(UnitsCV!$A$2:$A$500,MATCH(S25,UnitsCV!$B$2:$B$500,0),1))</f>
        <v/>
      </c>
      <c r="AJ25" s="18" t="str">
        <f t="shared" si="5"/>
        <v/>
      </c>
      <c r="AL25" t="str">
        <f t="shared" si="6"/>
        <v/>
      </c>
    </row>
    <row r="26" spans="1:38" x14ac:dyDescent="0.2">
      <c r="A26" s="22" t="str">
        <f t="shared" si="4"/>
        <v/>
      </c>
      <c r="B26" s="19"/>
      <c r="C26" s="19"/>
      <c r="D26" s="19"/>
      <c r="E26" s="19"/>
      <c r="F26" s="19"/>
      <c r="G26" s="19"/>
      <c r="H26" s="19"/>
      <c r="I26" s="19"/>
      <c r="J26" s="19"/>
      <c r="K26" s="19"/>
      <c r="L26" s="19"/>
      <c r="M26" s="19"/>
      <c r="N26" s="19"/>
      <c r="O26" s="19"/>
      <c r="P26" s="19"/>
      <c r="Q26" s="19"/>
      <c r="R26" s="19"/>
      <c r="S26" s="18"/>
      <c r="U26" s="66" t="str">
        <f>IF(A26="","",INDEX(Deployment!$A$2:$A$500,MATCH(CONCATENATE($G$4,$H$4,$I$4),Deployment!$L$2:$L$500,0),1))</f>
        <v/>
      </c>
      <c r="V26" s="19" t="str">
        <f>IF(A26="","",INDEX(Sites!$A$4:$A$51,MATCH(B26,Sites!$B$4:$B$51,0),1))</f>
        <v/>
      </c>
      <c r="W26" s="19"/>
      <c r="X26" s="19" t="str">
        <f>IF(A26="","",INDEX(Sensors!$A$2:$A$500,MATCH(CONCATENATE(E26,F26,G26),Sensors!$K$2:$K$500,0),1))</f>
        <v/>
      </c>
      <c r="Y26" s="19" t="str">
        <f>IF(A26="","",INDEX(Variables!$A$2:$A$500,MATCH(I26,Variables!$B$2:$B$500,0),1))</f>
        <v/>
      </c>
      <c r="Z26" s="19" t="str">
        <f>IF(A26="","",INDEX(UnitsCV!$A$2:$A$500,MATCH(J26,UnitsCV!$B$2:$B$500,0),1))</f>
        <v/>
      </c>
      <c r="AA26" s="19" t="str">
        <f t="shared" si="0"/>
        <v/>
      </c>
      <c r="AB26" s="19" t="str">
        <f t="shared" si="1"/>
        <v/>
      </c>
      <c r="AC26" s="19" t="str">
        <f>IF(A26="","",INDEX(DataTypeCV!$A$2:$A$50,MATCH(K26,DataTypeCV!$B$2:$B$50,0),1))</f>
        <v/>
      </c>
      <c r="AD26" s="19" t="str">
        <f>IF(A26="","",INDEX(UnitsCV!$A$2:$A$500,MATCH(M26,UnitsCV!$B$2:$B$500,0),1))</f>
        <v/>
      </c>
      <c r="AE26" s="19" t="str">
        <f t="shared" si="2"/>
        <v/>
      </c>
      <c r="AF26" s="19" t="str">
        <f t="shared" si="7"/>
        <v/>
      </c>
      <c r="AG26" s="19" t="str">
        <f t="shared" si="8"/>
        <v/>
      </c>
      <c r="AH26" s="19" t="str">
        <f t="shared" si="9"/>
        <v/>
      </c>
      <c r="AI26" s="19" t="str">
        <f>IF(S26="","",INDEX(UnitsCV!$A$2:$A$500,MATCH(S26,UnitsCV!$B$2:$B$500,0),1))</f>
        <v/>
      </c>
      <c r="AJ26" s="18" t="str">
        <f t="shared" si="5"/>
        <v/>
      </c>
      <c r="AL26" t="str">
        <f t="shared" si="6"/>
        <v/>
      </c>
    </row>
    <row r="27" spans="1:38" x14ac:dyDescent="0.2">
      <c r="A27" s="22" t="str">
        <f t="shared" si="4"/>
        <v/>
      </c>
      <c r="B27" s="19"/>
      <c r="C27" s="19"/>
      <c r="D27" s="19"/>
      <c r="E27" s="19"/>
      <c r="F27" s="19"/>
      <c r="G27" s="19"/>
      <c r="H27" s="19"/>
      <c r="I27" s="19"/>
      <c r="J27" s="19"/>
      <c r="K27" s="19"/>
      <c r="L27" s="19"/>
      <c r="M27" s="19"/>
      <c r="N27" s="19"/>
      <c r="O27" s="19"/>
      <c r="P27" s="19"/>
      <c r="Q27" s="19"/>
      <c r="R27" s="19"/>
      <c r="S27" s="18"/>
      <c r="U27" s="66" t="str">
        <f>IF(A27="","",INDEX(Deployment!$A$2:$A$500,MATCH(CONCATENATE($G$4,$H$4,$I$4),Deployment!$L$2:$L$500,0),1))</f>
        <v/>
      </c>
      <c r="V27" s="19" t="str">
        <f>IF(A27="","",INDEX(Sites!$A$4:$A$51,MATCH(B27,Sites!$B$4:$B$51,0),1))</f>
        <v/>
      </c>
      <c r="W27" s="19"/>
      <c r="X27" s="19" t="str">
        <f>IF(A27="","",INDEX(Sensors!$A$2:$A$500,MATCH(CONCATENATE(E27,F27,G27),Sensors!$K$2:$K$500,0),1))</f>
        <v/>
      </c>
      <c r="Y27" s="19" t="str">
        <f>IF(A27="","",INDEX(Variables!$A$2:$A$500,MATCH(I27,Variables!$B$2:$B$500,0),1))</f>
        <v/>
      </c>
      <c r="Z27" s="19" t="str">
        <f>IF(A27="","",INDEX(UnitsCV!$A$2:$A$500,MATCH(J27,UnitsCV!$B$2:$B$500,0),1))</f>
        <v/>
      </c>
      <c r="AA27" s="19" t="str">
        <f t="shared" si="0"/>
        <v/>
      </c>
      <c r="AB27" s="19" t="str">
        <f t="shared" si="1"/>
        <v/>
      </c>
      <c r="AC27" s="19" t="str">
        <f>IF(A27="","",INDEX(DataTypeCV!$A$2:$A$50,MATCH(K27,DataTypeCV!$B$2:$B$50,0),1))</f>
        <v/>
      </c>
      <c r="AD27" s="19" t="str">
        <f>IF(A27="","",INDEX(UnitsCV!$A$2:$A$500,MATCH(M27,UnitsCV!$B$2:$B$500,0),1))</f>
        <v/>
      </c>
      <c r="AE27" s="19" t="str">
        <f t="shared" si="2"/>
        <v/>
      </c>
      <c r="AF27" s="19" t="str">
        <f t="shared" si="7"/>
        <v/>
      </c>
      <c r="AG27" s="19" t="str">
        <f t="shared" si="8"/>
        <v/>
      </c>
      <c r="AH27" s="19" t="str">
        <f t="shared" si="9"/>
        <v/>
      </c>
      <c r="AI27" s="19" t="str">
        <f>IF(S27="","",INDEX(UnitsCV!$A$2:$A$500,MATCH(S27,UnitsCV!$B$2:$B$500,0),1))</f>
        <v/>
      </c>
      <c r="AJ27" s="18" t="str">
        <f t="shared" si="5"/>
        <v/>
      </c>
      <c r="AL27" t="str">
        <f t="shared" si="6"/>
        <v/>
      </c>
    </row>
    <row r="28" spans="1:38" x14ac:dyDescent="0.2">
      <c r="A28" s="22" t="str">
        <f t="shared" si="4"/>
        <v/>
      </c>
      <c r="B28" s="19"/>
      <c r="C28" s="19"/>
      <c r="D28" s="19"/>
      <c r="E28" s="19"/>
      <c r="F28" s="19"/>
      <c r="G28" s="19"/>
      <c r="H28" s="19"/>
      <c r="I28" s="19"/>
      <c r="J28" s="19"/>
      <c r="K28" s="19"/>
      <c r="L28" s="19"/>
      <c r="M28" s="19"/>
      <c r="N28" s="19"/>
      <c r="O28" s="19"/>
      <c r="P28" s="19"/>
      <c r="Q28" s="19"/>
      <c r="R28" s="19"/>
      <c r="S28" s="18"/>
      <c r="U28" s="66" t="str">
        <f>IF(A28="","",INDEX(Deployment!$A$2:$A$500,MATCH(CONCATENATE($G$4,$H$4,$I$4),Deployment!$L$2:$L$500,0),1))</f>
        <v/>
      </c>
      <c r="V28" s="19" t="str">
        <f>IF(A28="","",INDEX(Sites!$A$4:$A$51,MATCH(B28,Sites!$B$4:$B$51,0),1))</f>
        <v/>
      </c>
      <c r="W28" s="19"/>
      <c r="X28" s="19" t="str">
        <f>IF(A28="","",INDEX(Sensors!$A$2:$A$500,MATCH(CONCATENATE(E28,F28,G28),Sensors!$K$2:$K$500,0),1))</f>
        <v/>
      </c>
      <c r="Y28" s="19" t="str">
        <f>IF(A28="","",INDEX(Variables!$A$2:$A$500,MATCH(I28,Variables!$B$2:$B$500,0),1))</f>
        <v/>
      </c>
      <c r="Z28" s="19" t="str">
        <f>IF(A28="","",INDEX(UnitsCV!$A$2:$A$500,MATCH(J28,UnitsCV!$B$2:$B$500,0),1))</f>
        <v/>
      </c>
      <c r="AA28" s="19" t="str">
        <f t="shared" si="0"/>
        <v/>
      </c>
      <c r="AB28" s="19" t="str">
        <f t="shared" si="1"/>
        <v/>
      </c>
      <c r="AC28" s="19" t="str">
        <f>IF(A28="","",INDEX(DataTypeCV!$A$2:$A$50,MATCH(K28,DataTypeCV!$B$2:$B$50,0),1))</f>
        <v/>
      </c>
      <c r="AD28" s="19" t="str">
        <f>IF(A28="","",INDEX(UnitsCV!$A$2:$A$500,MATCH(M28,UnitsCV!$B$2:$B$500,0),1))</f>
        <v/>
      </c>
      <c r="AE28" s="19" t="str">
        <f t="shared" si="2"/>
        <v/>
      </c>
      <c r="AF28" s="19" t="str">
        <f t="shared" si="7"/>
        <v/>
      </c>
      <c r="AG28" s="19" t="str">
        <f t="shared" si="8"/>
        <v/>
      </c>
      <c r="AH28" s="19" t="str">
        <f t="shared" si="9"/>
        <v/>
      </c>
      <c r="AI28" s="19" t="str">
        <f>IF(S28="","",INDEX(UnitsCV!$A$2:$A$500,MATCH(S28,UnitsCV!$B$2:$B$500,0),1))</f>
        <v/>
      </c>
      <c r="AJ28" s="18" t="str">
        <f t="shared" si="5"/>
        <v/>
      </c>
      <c r="AL28" t="str">
        <f t="shared" si="6"/>
        <v/>
      </c>
    </row>
    <row r="29" spans="1:38" x14ac:dyDescent="0.2">
      <c r="A29" s="22" t="str">
        <f t="shared" si="4"/>
        <v/>
      </c>
      <c r="B29" s="19"/>
      <c r="C29" s="19"/>
      <c r="D29" s="19"/>
      <c r="E29" s="19"/>
      <c r="F29" s="19"/>
      <c r="G29" s="19"/>
      <c r="H29" s="19"/>
      <c r="I29" s="19"/>
      <c r="J29" s="19"/>
      <c r="K29" s="19"/>
      <c r="L29" s="19"/>
      <c r="M29" s="19"/>
      <c r="N29" s="19"/>
      <c r="O29" s="19"/>
      <c r="P29" s="19"/>
      <c r="Q29" s="19"/>
      <c r="R29" s="19"/>
      <c r="S29" s="18"/>
      <c r="U29" s="66" t="str">
        <f>IF(A29="","",INDEX(Deployment!$A$2:$A$500,MATCH(CONCATENATE($G$4,$H$4,$I$4),Deployment!$L$2:$L$500,0),1))</f>
        <v/>
      </c>
      <c r="V29" s="19" t="str">
        <f>IF(A29="","",INDEX(Sites!$A$4:$A$51,MATCH(B29,Sites!$B$4:$B$51,0),1))</f>
        <v/>
      </c>
      <c r="W29" s="19"/>
      <c r="X29" s="19" t="str">
        <f>IF(A29="","",INDEX(Sensors!$A$2:$A$500,MATCH(CONCATENATE(E29,F29,G29),Sensors!$K$2:$K$500,0),1))</f>
        <v/>
      </c>
      <c r="Y29" s="19" t="str">
        <f>IF(A29="","",INDEX(Variables!$A$2:$A$500,MATCH(I29,Variables!$B$2:$B$500,0),1))</f>
        <v/>
      </c>
      <c r="Z29" s="19" t="str">
        <f>IF(A29="","",INDEX(UnitsCV!$A$2:$A$500,MATCH(J29,UnitsCV!$B$2:$B$500,0),1))</f>
        <v/>
      </c>
      <c r="AA29" s="19" t="str">
        <f t="shared" si="0"/>
        <v/>
      </c>
      <c r="AB29" s="19" t="str">
        <f t="shared" si="1"/>
        <v/>
      </c>
      <c r="AC29" s="19" t="str">
        <f>IF(A29="","",INDEX(DataTypeCV!$A$2:$A$50,MATCH(K29,DataTypeCV!$B$2:$B$50,0),1))</f>
        <v/>
      </c>
      <c r="AD29" s="19" t="str">
        <f>IF(A29="","",INDEX(UnitsCV!$A$2:$A$500,MATCH(M29,UnitsCV!$B$2:$B$500,0),1))</f>
        <v/>
      </c>
      <c r="AE29" s="19" t="str">
        <f t="shared" si="2"/>
        <v/>
      </c>
      <c r="AF29" s="19" t="str">
        <f t="shared" si="7"/>
        <v/>
      </c>
      <c r="AG29" s="19" t="str">
        <f t="shared" si="8"/>
        <v/>
      </c>
      <c r="AH29" s="19" t="str">
        <f t="shared" si="9"/>
        <v/>
      </c>
      <c r="AI29" s="19" t="str">
        <f>IF(S29="","",INDEX(UnitsCV!$A$2:$A$500,MATCH(S29,UnitsCV!$B$2:$B$500,0),1))</f>
        <v/>
      </c>
      <c r="AJ29" s="18" t="str">
        <f t="shared" si="5"/>
        <v/>
      </c>
      <c r="AL29" t="str">
        <f t="shared" si="6"/>
        <v/>
      </c>
    </row>
    <row r="30" spans="1:38" x14ac:dyDescent="0.2">
      <c r="A30" s="22" t="str">
        <f t="shared" si="4"/>
        <v/>
      </c>
      <c r="B30" s="19"/>
      <c r="C30" s="19"/>
      <c r="D30" s="19"/>
      <c r="E30" s="19"/>
      <c r="F30" s="19"/>
      <c r="G30" s="19"/>
      <c r="H30" s="19"/>
      <c r="I30" s="19"/>
      <c r="J30" s="19"/>
      <c r="K30" s="19"/>
      <c r="L30" s="19"/>
      <c r="M30" s="19"/>
      <c r="N30" s="19"/>
      <c r="O30" s="19"/>
      <c r="P30" s="19"/>
      <c r="Q30" s="19"/>
      <c r="R30" s="19"/>
      <c r="S30" s="18"/>
      <c r="U30" s="66" t="str">
        <f>IF(A30="","",INDEX(Deployment!$A$2:$A$500,MATCH(CONCATENATE($G$4,$H$4,$I$4),Deployment!$L$2:$L$500,0),1))</f>
        <v/>
      </c>
      <c r="V30" s="19" t="str">
        <f>IF(A30="","",INDEX(Sites!$A$4:$A$51,MATCH(B30,Sites!$B$4:$B$51,0),1))</f>
        <v/>
      </c>
      <c r="W30" s="19"/>
      <c r="X30" s="19" t="str">
        <f>IF(A30="","",INDEX(Sensors!$A$2:$A$500,MATCH(CONCATENATE(E30,F30,G30),Sensors!$K$2:$K$500,0),1))</f>
        <v/>
      </c>
      <c r="Y30" s="19" t="str">
        <f>IF(A30="","",INDEX(Variables!$A$2:$A$500,MATCH(I30,Variables!$B$2:$B$500,0),1))</f>
        <v/>
      </c>
      <c r="Z30" s="19" t="str">
        <f>IF(A30="","",INDEX(UnitsCV!$A$2:$A$500,MATCH(J30,UnitsCV!$B$2:$B$500,0),1))</f>
        <v/>
      </c>
      <c r="AA30" s="19" t="str">
        <f t="shared" si="0"/>
        <v/>
      </c>
      <c r="AB30" s="19" t="str">
        <f t="shared" si="1"/>
        <v/>
      </c>
      <c r="AC30" s="19" t="str">
        <f>IF(A30="","",INDEX(DataTypeCV!$A$2:$A$50,MATCH(K30,DataTypeCV!$B$2:$B$50,0),1))</f>
        <v/>
      </c>
      <c r="AD30" s="19" t="str">
        <f>IF(A30="","",INDEX(UnitsCV!$A$2:$A$500,MATCH(M30,UnitsCV!$B$2:$B$500,0),1))</f>
        <v/>
      </c>
      <c r="AE30" s="19" t="str">
        <f t="shared" si="2"/>
        <v/>
      </c>
      <c r="AF30" s="19" t="str">
        <f t="shared" si="7"/>
        <v/>
      </c>
      <c r="AG30" s="19" t="str">
        <f t="shared" si="8"/>
        <v/>
      </c>
      <c r="AH30" s="19" t="str">
        <f t="shared" si="9"/>
        <v/>
      </c>
      <c r="AI30" s="19" t="str">
        <f>IF(S30="","",INDEX(UnitsCV!$A$2:$A$500,MATCH(S30,UnitsCV!$B$2:$B$500,0),1))</f>
        <v/>
      </c>
      <c r="AJ30" s="18" t="str">
        <f t="shared" si="5"/>
        <v/>
      </c>
      <c r="AL30" t="str">
        <f t="shared" si="6"/>
        <v/>
      </c>
    </row>
    <row r="31" spans="1:38" x14ac:dyDescent="0.2">
      <c r="A31" s="22" t="str">
        <f t="shared" si="4"/>
        <v/>
      </c>
      <c r="B31" s="19"/>
      <c r="C31" s="19"/>
      <c r="D31" s="19"/>
      <c r="E31" s="19"/>
      <c r="F31" s="19"/>
      <c r="G31" s="19"/>
      <c r="H31" s="19"/>
      <c r="I31" s="19"/>
      <c r="J31" s="19"/>
      <c r="K31" s="19"/>
      <c r="L31" s="19"/>
      <c r="M31" s="19"/>
      <c r="N31" s="19"/>
      <c r="O31" s="19"/>
      <c r="P31" s="19"/>
      <c r="Q31" s="19"/>
      <c r="R31" s="19"/>
      <c r="S31" s="18"/>
      <c r="U31" s="66" t="str">
        <f>IF(A31="","",INDEX(Deployment!$A$2:$A$500,MATCH(CONCATENATE($G$4,$H$4,$I$4),Deployment!$L$2:$L$500,0),1))</f>
        <v/>
      </c>
      <c r="V31" s="19" t="str">
        <f>IF(A31="","",INDEX(Sites!$A$4:$A$51,MATCH(B31,Sites!$B$4:$B$51,0),1))</f>
        <v/>
      </c>
      <c r="W31" s="19"/>
      <c r="X31" s="19" t="str">
        <f>IF(A31="","",INDEX(Sensors!$A$2:$A$500,MATCH(CONCATENATE(E31,F31,G31),Sensors!$K$2:$K$500,0),1))</f>
        <v/>
      </c>
      <c r="Y31" s="19" t="str">
        <f>IF(A31="","",INDEX(Variables!$A$2:$A$500,MATCH(I31,Variables!$B$2:$B$500,0),1))</f>
        <v/>
      </c>
      <c r="Z31" s="19" t="str">
        <f>IF(A31="","",INDEX(UnitsCV!$A$2:$A$500,MATCH(J31,UnitsCV!$B$2:$B$500,0),1))</f>
        <v/>
      </c>
      <c r="AA31" s="19" t="str">
        <f t="shared" si="0"/>
        <v/>
      </c>
      <c r="AB31" s="19" t="str">
        <f t="shared" si="1"/>
        <v/>
      </c>
      <c r="AC31" s="19" t="str">
        <f>IF(A31="","",INDEX(DataTypeCV!$A$2:$A$50,MATCH(K31,DataTypeCV!$B$2:$B$50,0),1))</f>
        <v/>
      </c>
      <c r="AD31" s="19" t="str">
        <f>IF(A31="","",INDEX(UnitsCV!$A$2:$A$500,MATCH(M31,UnitsCV!$B$2:$B$500,0),1))</f>
        <v/>
      </c>
      <c r="AE31" s="19" t="str">
        <f t="shared" si="2"/>
        <v/>
      </c>
      <c r="AF31" s="19" t="str">
        <f t="shared" si="7"/>
        <v/>
      </c>
      <c r="AG31" s="19" t="str">
        <f t="shared" si="8"/>
        <v/>
      </c>
      <c r="AH31" s="19" t="str">
        <f t="shared" si="9"/>
        <v/>
      </c>
      <c r="AI31" s="19" t="str">
        <f>IF(S31="","",INDEX(UnitsCV!$A$2:$A$500,MATCH(S31,UnitsCV!$B$2:$B$500,0),1))</f>
        <v/>
      </c>
      <c r="AJ31" s="18" t="str">
        <f t="shared" si="5"/>
        <v/>
      </c>
      <c r="AL31" t="str">
        <f t="shared" si="6"/>
        <v/>
      </c>
    </row>
    <row r="32" spans="1:38" x14ac:dyDescent="0.2">
      <c r="A32" s="22" t="str">
        <f t="shared" si="4"/>
        <v/>
      </c>
      <c r="B32" s="19"/>
      <c r="C32" s="19"/>
      <c r="D32" s="19"/>
      <c r="E32" s="19"/>
      <c r="F32" s="19"/>
      <c r="G32" s="19"/>
      <c r="H32" s="19"/>
      <c r="I32" s="19"/>
      <c r="J32" s="19"/>
      <c r="K32" s="19"/>
      <c r="L32" s="19"/>
      <c r="M32" s="19"/>
      <c r="N32" s="19"/>
      <c r="O32" s="19"/>
      <c r="P32" s="19"/>
      <c r="Q32" s="19"/>
      <c r="R32" s="19"/>
      <c r="S32" s="18"/>
      <c r="U32" s="66" t="str">
        <f>IF(A32="","",INDEX(Deployment!$A$2:$A$500,MATCH(CONCATENATE($G$4,$H$4,$I$4),Deployment!$L$2:$L$500,0),1))</f>
        <v/>
      </c>
      <c r="V32" s="19" t="str">
        <f>IF(A32="","",INDEX(Sites!$A$4:$A$51,MATCH(B32,Sites!$B$4:$B$51,0),1))</f>
        <v/>
      </c>
      <c r="W32" s="19"/>
      <c r="X32" s="19" t="str">
        <f>IF(A32="","",INDEX(Sensors!$A$2:$A$500,MATCH(CONCATENATE(E32,F32,G32),Sensors!$K$2:$K$500,0),1))</f>
        <v/>
      </c>
      <c r="Y32" s="19" t="str">
        <f>IF(A32="","",INDEX(Variables!$A$2:$A$500,MATCH(I32,Variables!$B$2:$B$500,0),1))</f>
        <v/>
      </c>
      <c r="Z32" s="19" t="str">
        <f>IF(A32="","",INDEX(UnitsCV!$A$2:$A$500,MATCH(J32,UnitsCV!$B$2:$B$500,0),1))</f>
        <v/>
      </c>
      <c r="AA32" s="19" t="str">
        <f t="shared" si="0"/>
        <v/>
      </c>
      <c r="AB32" s="19" t="str">
        <f t="shared" si="1"/>
        <v/>
      </c>
      <c r="AC32" s="19" t="str">
        <f>IF(A32="","",INDEX(DataTypeCV!$A$2:$A$50,MATCH(K32,DataTypeCV!$B$2:$B$50,0),1))</f>
        <v/>
      </c>
      <c r="AD32" s="19" t="str">
        <f>IF(A32="","",INDEX(UnitsCV!$A$2:$A$500,MATCH(M32,UnitsCV!$B$2:$B$500,0),1))</f>
        <v/>
      </c>
      <c r="AE32" s="19" t="str">
        <f t="shared" si="2"/>
        <v/>
      </c>
      <c r="AF32" s="19" t="str">
        <f t="shared" si="7"/>
        <v/>
      </c>
      <c r="AG32" s="19" t="str">
        <f t="shared" si="8"/>
        <v/>
      </c>
      <c r="AH32" s="19" t="str">
        <f t="shared" si="9"/>
        <v/>
      </c>
      <c r="AI32" s="19" t="str">
        <f>IF(S32="","",INDEX(UnitsCV!$A$2:$A$500,MATCH(S32,UnitsCV!$B$2:$B$500,0),1))</f>
        <v/>
      </c>
      <c r="AJ32" s="18" t="str">
        <f t="shared" si="5"/>
        <v/>
      </c>
      <c r="AL32" t="str">
        <f t="shared" si="6"/>
        <v/>
      </c>
    </row>
    <row r="33" spans="1:38" x14ac:dyDescent="0.2">
      <c r="A33" s="22" t="str">
        <f t="shared" si="4"/>
        <v/>
      </c>
      <c r="B33" s="19"/>
      <c r="C33" s="19"/>
      <c r="D33" s="19"/>
      <c r="E33" s="19"/>
      <c r="F33" s="19"/>
      <c r="G33" s="19"/>
      <c r="H33" s="19"/>
      <c r="I33" s="19"/>
      <c r="J33" s="19"/>
      <c r="K33" s="19"/>
      <c r="L33" s="19"/>
      <c r="M33" s="19"/>
      <c r="N33" s="19"/>
      <c r="O33" s="19"/>
      <c r="P33" s="19"/>
      <c r="Q33" s="19"/>
      <c r="R33" s="19"/>
      <c r="S33" s="18"/>
      <c r="U33" s="66" t="str">
        <f>IF(A33="","",INDEX(Deployment!$A$2:$A$500,MATCH(CONCATENATE($G$4,$H$4,$I$4),Deployment!$L$2:$L$500,0),1))</f>
        <v/>
      </c>
      <c r="V33" s="19" t="str">
        <f>IF(A33="","",INDEX(Sites!$A$4:$A$51,MATCH(B33,Sites!$B$4:$B$51,0),1))</f>
        <v/>
      </c>
      <c r="W33" s="19"/>
      <c r="X33" s="19" t="str">
        <f>IF(A33="","",INDEX(Sensors!$A$2:$A$500,MATCH(CONCATENATE(E33,F33,G33),Sensors!$K$2:$K$500,0),1))</f>
        <v/>
      </c>
      <c r="Y33" s="19" t="str">
        <f>IF(A33="","",INDEX(Variables!$A$2:$A$500,MATCH(I33,Variables!$B$2:$B$500,0),1))</f>
        <v/>
      </c>
      <c r="Z33" s="19" t="str">
        <f>IF(A33="","",INDEX(UnitsCV!$A$2:$A$500,MATCH(J33,UnitsCV!$B$2:$B$500,0),1))</f>
        <v/>
      </c>
      <c r="AA33" s="19" t="str">
        <f t="shared" si="0"/>
        <v/>
      </c>
      <c r="AB33" s="19" t="str">
        <f t="shared" si="1"/>
        <v/>
      </c>
      <c r="AC33" s="19" t="str">
        <f>IF(A33="","",INDEX(DataTypeCV!$A$2:$A$50,MATCH(K33,DataTypeCV!$B$2:$B$50,0),1))</f>
        <v/>
      </c>
      <c r="AD33" s="19" t="str">
        <f>IF(A33="","",INDEX(UnitsCV!$A$2:$A$500,MATCH(M33,UnitsCV!$B$2:$B$500,0),1))</f>
        <v/>
      </c>
      <c r="AE33" s="19" t="str">
        <f t="shared" si="2"/>
        <v/>
      </c>
      <c r="AF33" s="19" t="str">
        <f t="shared" si="7"/>
        <v/>
      </c>
      <c r="AG33" s="19" t="str">
        <f t="shared" si="8"/>
        <v/>
      </c>
      <c r="AH33" s="19" t="str">
        <f t="shared" si="9"/>
        <v/>
      </c>
      <c r="AI33" s="19" t="str">
        <f>IF(S33="","",INDEX(UnitsCV!$A$2:$A$500,MATCH(S33,UnitsCV!$B$2:$B$500,0),1))</f>
        <v/>
      </c>
      <c r="AJ33" s="18" t="str">
        <f t="shared" si="5"/>
        <v/>
      </c>
      <c r="AL33" t="str">
        <f t="shared" si="6"/>
        <v/>
      </c>
    </row>
    <row r="34" spans="1:38" x14ac:dyDescent="0.2">
      <c r="A34" s="22" t="str">
        <f t="shared" si="4"/>
        <v/>
      </c>
      <c r="B34" s="19"/>
      <c r="C34" s="19"/>
      <c r="D34" s="19"/>
      <c r="E34" s="19"/>
      <c r="F34" s="19"/>
      <c r="G34" s="19"/>
      <c r="H34" s="19"/>
      <c r="I34" s="19"/>
      <c r="J34" s="19"/>
      <c r="K34" s="19"/>
      <c r="L34" s="19"/>
      <c r="M34" s="19"/>
      <c r="N34" s="19"/>
      <c r="O34" s="19"/>
      <c r="P34" s="19"/>
      <c r="Q34" s="19"/>
      <c r="R34" s="19"/>
      <c r="S34" s="18"/>
      <c r="U34" s="66" t="str">
        <f>IF(A34="","",INDEX(Deployment!$A$2:$A$500,MATCH(CONCATENATE($G$4,$H$4,$I$4),Deployment!$L$2:$L$500,0),1))</f>
        <v/>
      </c>
      <c r="V34" s="19" t="str">
        <f>IF(A34="","",INDEX(Sites!$A$4:$A$51,MATCH(B34,Sites!$B$4:$B$51,0),1))</f>
        <v/>
      </c>
      <c r="W34" s="19"/>
      <c r="X34" s="19" t="str">
        <f>IF(A34="","",INDEX(Sensors!$A$2:$A$500,MATCH(CONCATENATE(E34,F34,G34),Sensors!$K$2:$K$500,0),1))</f>
        <v/>
      </c>
      <c r="Y34" s="19" t="str">
        <f>IF(A34="","",INDEX(Variables!$A$2:$A$500,MATCH(I34,Variables!$B$2:$B$500,0),1))</f>
        <v/>
      </c>
      <c r="Z34" s="19" t="str">
        <f>IF(A34="","",INDEX(UnitsCV!$A$2:$A$500,MATCH(J34,UnitsCV!$B$2:$B$500,0),1))</f>
        <v/>
      </c>
      <c r="AA34" s="19" t="str">
        <f t="shared" si="0"/>
        <v/>
      </c>
      <c r="AB34" s="19" t="str">
        <f t="shared" si="1"/>
        <v/>
      </c>
      <c r="AC34" s="19" t="str">
        <f>IF(A34="","",INDEX(DataTypeCV!$A$2:$A$50,MATCH(K34,DataTypeCV!$B$2:$B$50,0),1))</f>
        <v/>
      </c>
      <c r="AD34" s="19" t="str">
        <f>IF(A34="","",INDEX(UnitsCV!$A$2:$A$500,MATCH(M34,UnitsCV!$B$2:$B$500,0),1))</f>
        <v/>
      </c>
      <c r="AE34" s="19" t="str">
        <f t="shared" si="2"/>
        <v/>
      </c>
      <c r="AF34" s="19" t="str">
        <f t="shared" si="7"/>
        <v/>
      </c>
      <c r="AG34" s="19" t="str">
        <f t="shared" si="8"/>
        <v/>
      </c>
      <c r="AH34" s="19" t="str">
        <f t="shared" si="9"/>
        <v/>
      </c>
      <c r="AI34" s="19" t="str">
        <f>IF(S34="","",INDEX(UnitsCV!$A$2:$A$500,MATCH(S34,UnitsCV!$B$2:$B$500,0),1))</f>
        <v/>
      </c>
      <c r="AJ34" s="18" t="str">
        <f t="shared" si="5"/>
        <v/>
      </c>
      <c r="AL34" t="str">
        <f t="shared" si="6"/>
        <v/>
      </c>
    </row>
    <row r="35" spans="1:38" x14ac:dyDescent="0.2">
      <c r="A35" s="22" t="str">
        <f t="shared" si="4"/>
        <v/>
      </c>
      <c r="B35" s="19"/>
      <c r="C35" s="19"/>
      <c r="D35" s="19"/>
      <c r="E35" s="19"/>
      <c r="F35" s="19"/>
      <c r="G35" s="19"/>
      <c r="H35" s="19"/>
      <c r="I35" s="19"/>
      <c r="J35" s="19"/>
      <c r="K35" s="19"/>
      <c r="L35" s="19"/>
      <c r="M35" s="19"/>
      <c r="N35" s="19"/>
      <c r="O35" s="19"/>
      <c r="P35" s="19"/>
      <c r="Q35" s="19"/>
      <c r="R35" s="19"/>
      <c r="S35" s="18"/>
      <c r="U35" s="66" t="str">
        <f>IF(A35="","",INDEX(Deployment!$A$2:$A$500,MATCH(CONCATENATE($G$4,$H$4,$I$4),Deployment!$L$2:$L$500,0),1))</f>
        <v/>
      </c>
      <c r="V35" s="19" t="str">
        <f>IF(A35="","",INDEX(Sites!$A$4:$A$51,MATCH(B35,Sites!$B$4:$B$51,0),1))</f>
        <v/>
      </c>
      <c r="W35" s="19"/>
      <c r="X35" s="19" t="str">
        <f>IF(A35="","",INDEX(Sensors!$A$2:$A$500,MATCH(CONCATENATE(E35,F35,G35),Sensors!$K$2:$K$500,0),1))</f>
        <v/>
      </c>
      <c r="Y35" s="19" t="str">
        <f>IF(A35="","",INDEX(Variables!$A$2:$A$500,MATCH(I35,Variables!$B$2:$B$500,0),1))</f>
        <v/>
      </c>
      <c r="Z35" s="19" t="str">
        <f>IF(A35="","",INDEX(UnitsCV!$A$2:$A$500,MATCH(J35,UnitsCV!$B$2:$B$500,0),1))</f>
        <v/>
      </c>
      <c r="AA35" s="19" t="str">
        <f t="shared" si="0"/>
        <v/>
      </c>
      <c r="AB35" s="19" t="str">
        <f t="shared" si="1"/>
        <v/>
      </c>
      <c r="AC35" s="19" t="str">
        <f>IF(A35="","",INDEX(DataTypeCV!$A$2:$A$50,MATCH(K35,DataTypeCV!$B$2:$B$50,0),1))</f>
        <v/>
      </c>
      <c r="AD35" s="19" t="str">
        <f>IF(A35="","",INDEX(UnitsCV!$A$2:$A$500,MATCH(M35,UnitsCV!$B$2:$B$500,0),1))</f>
        <v/>
      </c>
      <c r="AE35" s="19" t="str">
        <f t="shared" si="2"/>
        <v/>
      </c>
      <c r="AF35" s="19" t="str">
        <f t="shared" si="7"/>
        <v/>
      </c>
      <c r="AG35" s="19" t="str">
        <f t="shared" si="8"/>
        <v/>
      </c>
      <c r="AH35" s="19" t="str">
        <f t="shared" si="9"/>
        <v/>
      </c>
      <c r="AI35" s="19" t="str">
        <f>IF(S35="","",INDEX(UnitsCV!$A$2:$A$500,MATCH(S35,UnitsCV!$B$2:$B$500,0),1))</f>
        <v/>
      </c>
      <c r="AJ35" s="18" t="str">
        <f t="shared" si="5"/>
        <v/>
      </c>
      <c r="AL35" t="str">
        <f t="shared" si="6"/>
        <v/>
      </c>
    </row>
    <row r="36" spans="1:38" x14ac:dyDescent="0.2">
      <c r="A36" s="22" t="str">
        <f t="shared" si="4"/>
        <v/>
      </c>
      <c r="B36" s="19"/>
      <c r="C36" s="19"/>
      <c r="D36" s="19"/>
      <c r="E36" s="19"/>
      <c r="F36" s="19"/>
      <c r="G36" s="19"/>
      <c r="H36" s="19"/>
      <c r="I36" s="19"/>
      <c r="J36" s="19"/>
      <c r="K36" s="19"/>
      <c r="L36" s="19"/>
      <c r="M36" s="19"/>
      <c r="N36" s="19"/>
      <c r="O36" s="19"/>
      <c r="P36" s="19"/>
      <c r="Q36" s="19"/>
      <c r="R36" s="19"/>
      <c r="S36" s="18"/>
      <c r="U36" s="66" t="str">
        <f>IF(A36="","",INDEX(Deployment!$A$2:$A$500,MATCH(CONCATENATE($G$4,$H$4,$I$4),Deployment!$L$2:$L$500,0),1))</f>
        <v/>
      </c>
      <c r="V36" s="19" t="str">
        <f>IF(A36="","",INDEX(Sites!$A$4:$A$51,MATCH(B36,Sites!$B$4:$B$51,0),1))</f>
        <v/>
      </c>
      <c r="W36" s="19"/>
      <c r="X36" s="19" t="str">
        <f>IF(A36="","",INDEX(Sensors!$A$2:$A$500,MATCH(CONCATENATE(E36,F36,G36),Sensors!$K$2:$K$500,0),1))</f>
        <v/>
      </c>
      <c r="Y36" s="19" t="str">
        <f>IF(A36="","",INDEX(Variables!$A$2:$A$500,MATCH(I36,Variables!$B$2:$B$500,0),1))</f>
        <v/>
      </c>
      <c r="Z36" s="19" t="str">
        <f>IF(A36="","",INDEX(UnitsCV!$A$2:$A$500,MATCH(J36,UnitsCV!$B$2:$B$500,0),1))</f>
        <v/>
      </c>
      <c r="AA36" s="19" t="str">
        <f t="shared" si="0"/>
        <v/>
      </c>
      <c r="AB36" s="19" t="str">
        <f t="shared" si="1"/>
        <v/>
      </c>
      <c r="AC36" s="19" t="str">
        <f>IF(A36="","",INDEX(DataTypeCV!$A$2:$A$50,MATCH(K36,DataTypeCV!$B$2:$B$50,0),1))</f>
        <v/>
      </c>
      <c r="AD36" s="19" t="str">
        <f>IF(A36="","",INDEX(UnitsCV!$A$2:$A$500,MATCH(M36,UnitsCV!$B$2:$B$500,0),1))</f>
        <v/>
      </c>
      <c r="AE36" s="19" t="str">
        <f t="shared" si="2"/>
        <v/>
      </c>
      <c r="AF36" s="19" t="str">
        <f t="shared" si="7"/>
        <v/>
      </c>
      <c r="AG36" s="19" t="str">
        <f t="shared" si="8"/>
        <v/>
      </c>
      <c r="AH36" s="19" t="str">
        <f t="shared" si="9"/>
        <v/>
      </c>
      <c r="AI36" s="19" t="str">
        <f>IF(S36="","",INDEX(UnitsCV!$A$2:$A$500,MATCH(S36,UnitsCV!$B$2:$B$500,0),1))</f>
        <v/>
      </c>
      <c r="AJ36" s="18" t="str">
        <f t="shared" si="5"/>
        <v/>
      </c>
      <c r="AL36" t="str">
        <f t="shared" si="6"/>
        <v/>
      </c>
    </row>
    <row r="37" spans="1:38" x14ac:dyDescent="0.2">
      <c r="A37" s="22" t="str">
        <f t="shared" si="4"/>
        <v/>
      </c>
      <c r="B37" s="19"/>
      <c r="C37" s="19"/>
      <c r="D37" s="19"/>
      <c r="E37" s="19"/>
      <c r="F37" s="19"/>
      <c r="G37" s="19"/>
      <c r="H37" s="19"/>
      <c r="I37" s="19"/>
      <c r="J37" s="19"/>
      <c r="K37" s="19"/>
      <c r="L37" s="19"/>
      <c r="M37" s="19"/>
      <c r="N37" s="19"/>
      <c r="O37" s="19"/>
      <c r="P37" s="19"/>
      <c r="Q37" s="19"/>
      <c r="R37" s="19"/>
      <c r="S37" s="18"/>
      <c r="U37" s="66" t="str">
        <f>IF(A37="","",INDEX(Deployment!$A$2:$A$500,MATCH(CONCATENATE($G$4,$H$4,$I$4),Deployment!$L$2:$L$500,0),1))</f>
        <v/>
      </c>
      <c r="V37" s="19" t="str">
        <f>IF(A37="","",INDEX(Sites!$A$4:$A$51,MATCH(B37,Sites!$B$4:$B$51,0),1))</f>
        <v/>
      </c>
      <c r="W37" s="19"/>
      <c r="X37" s="19" t="str">
        <f>IF(A37="","",INDEX(Sensors!$A$2:$A$500,MATCH(CONCATENATE(E37,F37,G37),Sensors!$K$2:$K$500,0),1))</f>
        <v/>
      </c>
      <c r="Y37" s="19" t="str">
        <f>IF(A37="","",INDEX(Variables!$A$2:$A$500,MATCH(I37,Variables!$B$2:$B$500,0),1))</f>
        <v/>
      </c>
      <c r="Z37" s="19" t="str">
        <f>IF(A37="","",INDEX(UnitsCV!$A$2:$A$500,MATCH(J37,UnitsCV!$B$2:$B$500,0),1))</f>
        <v/>
      </c>
      <c r="AA37" s="19" t="str">
        <f t="shared" si="0"/>
        <v/>
      </c>
      <c r="AB37" s="19" t="str">
        <f t="shared" si="1"/>
        <v/>
      </c>
      <c r="AC37" s="19" t="str">
        <f>IF(A37="","",INDEX(DataTypeCV!$A$2:$A$50,MATCH(K37,DataTypeCV!$B$2:$B$50,0),1))</f>
        <v/>
      </c>
      <c r="AD37" s="19" t="str">
        <f>IF(A37="","",INDEX(UnitsCV!$A$2:$A$500,MATCH(M37,UnitsCV!$B$2:$B$500,0),1))</f>
        <v/>
      </c>
      <c r="AE37" s="19" t="str">
        <f t="shared" si="2"/>
        <v/>
      </c>
      <c r="AF37" s="19" t="str">
        <f t="shared" si="7"/>
        <v/>
      </c>
      <c r="AG37" s="19" t="str">
        <f t="shared" si="8"/>
        <v/>
      </c>
      <c r="AH37" s="19" t="str">
        <f t="shared" si="9"/>
        <v/>
      </c>
      <c r="AI37" s="19" t="str">
        <f>IF(S37="","",INDEX(UnitsCV!$A$2:$A$500,MATCH(S37,UnitsCV!$B$2:$B$500,0),1))</f>
        <v/>
      </c>
      <c r="AJ37" s="18" t="str">
        <f t="shared" si="5"/>
        <v/>
      </c>
      <c r="AL37" t="str">
        <f t="shared" si="6"/>
        <v/>
      </c>
    </row>
    <row r="38" spans="1:38" x14ac:dyDescent="0.2">
      <c r="A38" s="22" t="str">
        <f t="shared" si="4"/>
        <v/>
      </c>
      <c r="B38" s="19"/>
      <c r="C38" s="19"/>
      <c r="D38" s="19"/>
      <c r="E38" s="19"/>
      <c r="F38" s="19"/>
      <c r="G38" s="19"/>
      <c r="H38" s="19"/>
      <c r="I38" s="19"/>
      <c r="J38" s="19"/>
      <c r="K38" s="19"/>
      <c r="L38" s="19"/>
      <c r="M38" s="19"/>
      <c r="N38" s="19"/>
      <c r="O38" s="19"/>
      <c r="P38" s="19"/>
      <c r="Q38" s="19"/>
      <c r="R38" s="19"/>
      <c r="S38" s="18"/>
      <c r="U38" s="66" t="str">
        <f>IF(A38="","",INDEX(Deployment!$A$2:$A$500,MATCH(CONCATENATE($G$4,$H$4,$I$4),Deployment!$L$2:$L$500,0),1))</f>
        <v/>
      </c>
      <c r="V38" s="19" t="str">
        <f>IF(A38="","",INDEX(Sites!$A$4:$A$51,MATCH(B38,Sites!$B$4:$B$51,0),1))</f>
        <v/>
      </c>
      <c r="W38" s="19"/>
      <c r="X38" s="19" t="str">
        <f>IF(A38="","",INDEX(Sensors!$A$2:$A$500,MATCH(CONCATENATE(E38,F38,G38),Sensors!$K$2:$K$500,0),1))</f>
        <v/>
      </c>
      <c r="Y38" s="19" t="str">
        <f>IF(A38="","",INDEX(Variables!$A$2:$A$500,MATCH(I38,Variables!$B$2:$B$500,0),1))</f>
        <v/>
      </c>
      <c r="Z38" s="19" t="str">
        <f>IF(A38="","",INDEX(UnitsCV!$A$2:$A$500,MATCH(J38,UnitsCV!$B$2:$B$500,0),1))</f>
        <v/>
      </c>
      <c r="AA38" s="19" t="str">
        <f t="shared" si="0"/>
        <v/>
      </c>
      <c r="AB38" s="19" t="str">
        <f t="shared" si="1"/>
        <v/>
      </c>
      <c r="AC38" s="19" t="str">
        <f>IF(A38="","",INDEX(DataTypeCV!$A$2:$A$50,MATCH(K38,DataTypeCV!$B$2:$B$50,0),1))</f>
        <v/>
      </c>
      <c r="AD38" s="19" t="str">
        <f>IF(A38="","",INDEX(UnitsCV!$A$2:$A$500,MATCH(M38,UnitsCV!$B$2:$B$500,0),1))</f>
        <v/>
      </c>
      <c r="AE38" s="19" t="str">
        <f t="shared" si="2"/>
        <v/>
      </c>
      <c r="AF38" s="19" t="str">
        <f t="shared" si="7"/>
        <v/>
      </c>
      <c r="AG38" s="19" t="str">
        <f t="shared" si="8"/>
        <v/>
      </c>
      <c r="AH38" s="19" t="str">
        <f t="shared" si="9"/>
        <v/>
      </c>
      <c r="AI38" s="19" t="str">
        <f>IF(S38="","",INDEX(UnitsCV!$A$2:$A$500,MATCH(S38,UnitsCV!$B$2:$B$500,0),1))</f>
        <v/>
      </c>
      <c r="AJ38" s="18" t="str">
        <f t="shared" si="5"/>
        <v/>
      </c>
      <c r="AL38" t="str">
        <f t="shared" si="6"/>
        <v/>
      </c>
    </row>
    <row r="39" spans="1:38" x14ac:dyDescent="0.2">
      <c r="A39" s="22" t="str">
        <f t="shared" si="4"/>
        <v/>
      </c>
      <c r="B39" s="19"/>
      <c r="C39" s="19"/>
      <c r="D39" s="19"/>
      <c r="E39" s="19"/>
      <c r="F39" s="19"/>
      <c r="G39" s="19"/>
      <c r="H39" s="19"/>
      <c r="I39" s="19"/>
      <c r="J39" s="19"/>
      <c r="K39" s="19"/>
      <c r="L39" s="19"/>
      <c r="M39" s="19"/>
      <c r="N39" s="19"/>
      <c r="O39" s="19"/>
      <c r="P39" s="19"/>
      <c r="Q39" s="19"/>
      <c r="R39" s="19"/>
      <c r="S39" s="18"/>
      <c r="U39" s="66" t="str">
        <f>IF(A39="","",INDEX(Deployment!$A$2:$A$500,MATCH(CONCATENATE($G$4,$H$4,$I$4),Deployment!$L$2:$L$500,0),1))</f>
        <v/>
      </c>
      <c r="V39" s="19" t="str">
        <f>IF(A39="","",INDEX(Sites!$A$4:$A$51,MATCH(B39,Sites!$B$4:$B$51,0),1))</f>
        <v/>
      </c>
      <c r="W39" s="19"/>
      <c r="X39" s="19" t="str">
        <f>IF(A39="","",INDEX(Sensors!$A$2:$A$500,MATCH(CONCATENATE(E39,F39,G39),Sensors!$K$2:$K$500,0),1))</f>
        <v/>
      </c>
      <c r="Y39" s="19" t="str">
        <f>IF(A39="","",INDEX(Variables!$A$2:$A$500,MATCH(I39,Variables!$B$2:$B$500,0),1))</f>
        <v/>
      </c>
      <c r="Z39" s="19" t="str">
        <f>IF(A39="","",INDEX(UnitsCV!$A$2:$A$500,MATCH(J39,UnitsCV!$B$2:$B$500,0),1))</f>
        <v/>
      </c>
      <c r="AA39" s="19" t="str">
        <f t="shared" si="0"/>
        <v/>
      </c>
      <c r="AB39" s="19" t="str">
        <f t="shared" si="1"/>
        <v/>
      </c>
      <c r="AC39" s="19" t="str">
        <f>IF(A39="","",INDEX(DataTypeCV!$A$2:$A$50,MATCH(K39,DataTypeCV!$B$2:$B$50,0),1))</f>
        <v/>
      </c>
      <c r="AD39" s="19" t="str">
        <f>IF(A39="","",INDEX(UnitsCV!$A$2:$A$500,MATCH(M39,UnitsCV!$B$2:$B$500,0),1))</f>
        <v/>
      </c>
      <c r="AE39" s="19" t="str">
        <f t="shared" si="2"/>
        <v/>
      </c>
      <c r="AF39" s="19" t="str">
        <f t="shared" si="7"/>
        <v/>
      </c>
      <c r="AG39" s="19" t="str">
        <f t="shared" si="8"/>
        <v/>
      </c>
      <c r="AH39" s="19" t="str">
        <f t="shared" si="9"/>
        <v/>
      </c>
      <c r="AI39" s="19" t="str">
        <f>IF(S39="","",INDEX(UnitsCV!$A$2:$A$500,MATCH(S39,UnitsCV!$B$2:$B$500,0),1))</f>
        <v/>
      </c>
      <c r="AJ39" s="18" t="str">
        <f t="shared" si="5"/>
        <v/>
      </c>
      <c r="AL39" t="str">
        <f t="shared" si="6"/>
        <v/>
      </c>
    </row>
    <row r="40" spans="1:38" x14ac:dyDescent="0.2">
      <c r="A40" s="22" t="str">
        <f t="shared" si="4"/>
        <v/>
      </c>
      <c r="B40" s="19"/>
      <c r="C40" s="19"/>
      <c r="D40" s="19"/>
      <c r="E40" s="19"/>
      <c r="F40" s="19"/>
      <c r="G40" s="19"/>
      <c r="H40" s="19"/>
      <c r="I40" s="19"/>
      <c r="J40" s="19"/>
      <c r="K40" s="19"/>
      <c r="L40" s="19"/>
      <c r="M40" s="19"/>
      <c r="N40" s="19"/>
      <c r="O40" s="19"/>
      <c r="P40" s="19"/>
      <c r="Q40" s="19"/>
      <c r="R40" s="19"/>
      <c r="S40" s="18"/>
      <c r="U40" s="66" t="str">
        <f>IF(A40="","",INDEX(Deployment!$A$2:$A$500,MATCH(CONCATENATE($G$4,$H$4,$I$4),Deployment!$L$2:$L$500,0),1))</f>
        <v/>
      </c>
      <c r="V40" s="19" t="str">
        <f>IF(A40="","",INDEX(Sites!$A$4:$A$51,MATCH(B40,Sites!$B$4:$B$51,0),1))</f>
        <v/>
      </c>
      <c r="W40" s="19"/>
      <c r="X40" s="19" t="str">
        <f>IF(A40="","",INDEX(Sensors!$A$2:$A$500,MATCH(CONCATENATE(E40,F40,G40),Sensors!$K$2:$K$500,0),1))</f>
        <v/>
      </c>
      <c r="Y40" s="19" t="str">
        <f>IF(A40="","",INDEX(Variables!$A$2:$A$500,MATCH(I40,Variables!$B$2:$B$500,0),1))</f>
        <v/>
      </c>
      <c r="Z40" s="19" t="str">
        <f>IF(A40="","",INDEX(UnitsCV!$A$2:$A$500,MATCH(J40,UnitsCV!$B$2:$B$500,0),1))</f>
        <v/>
      </c>
      <c r="AA40" s="19" t="str">
        <f t="shared" si="0"/>
        <v/>
      </c>
      <c r="AB40" s="19" t="str">
        <f t="shared" si="1"/>
        <v/>
      </c>
      <c r="AC40" s="19" t="str">
        <f>IF(A40="","",INDEX(DataTypeCV!$A$2:$A$50,MATCH(K40,DataTypeCV!$B$2:$B$50,0),1))</f>
        <v/>
      </c>
      <c r="AD40" s="19" t="str">
        <f>IF(A40="","",INDEX(UnitsCV!$A$2:$A$500,MATCH(M40,UnitsCV!$B$2:$B$500,0),1))</f>
        <v/>
      </c>
      <c r="AE40" s="19" t="str">
        <f t="shared" si="2"/>
        <v/>
      </c>
      <c r="AF40" s="19" t="str">
        <f t="shared" si="7"/>
        <v/>
      </c>
      <c r="AG40" s="19" t="str">
        <f t="shared" si="8"/>
        <v/>
      </c>
      <c r="AH40" s="19" t="str">
        <f t="shared" si="9"/>
        <v/>
      </c>
      <c r="AI40" s="19" t="str">
        <f>IF(S40="","",INDEX(UnitsCV!$A$2:$A$500,MATCH(S40,UnitsCV!$B$2:$B$500,0),1))</f>
        <v/>
      </c>
      <c r="AJ40" s="18" t="str">
        <f t="shared" si="5"/>
        <v/>
      </c>
      <c r="AL40" t="str">
        <f t="shared" si="6"/>
        <v/>
      </c>
    </row>
    <row r="41" spans="1:38" x14ac:dyDescent="0.2">
      <c r="A41" s="22" t="str">
        <f t="shared" si="4"/>
        <v/>
      </c>
      <c r="B41" s="19"/>
      <c r="C41" s="19"/>
      <c r="D41" s="19"/>
      <c r="E41" s="19"/>
      <c r="F41" s="19"/>
      <c r="G41" s="19"/>
      <c r="H41" s="19"/>
      <c r="I41" s="19"/>
      <c r="J41" s="19"/>
      <c r="K41" s="19"/>
      <c r="L41" s="19"/>
      <c r="M41" s="19"/>
      <c r="N41" s="19"/>
      <c r="O41" s="19"/>
      <c r="P41" s="19"/>
      <c r="Q41" s="19"/>
      <c r="R41" s="19"/>
      <c r="S41" s="18"/>
      <c r="U41" s="66" t="str">
        <f>IF(A41="","",INDEX(Deployment!$A$2:$A$500,MATCH(CONCATENATE($G$4,$H$4,$I$4),Deployment!$L$2:$L$500,0),1))</f>
        <v/>
      </c>
      <c r="V41" s="19" t="str">
        <f>IF(A41="","",INDEX(Sites!$A$4:$A$51,MATCH(B41,Sites!$B$4:$B$51,0),1))</f>
        <v/>
      </c>
      <c r="W41" s="19"/>
      <c r="X41" s="19" t="str">
        <f>IF(A41="","",INDEX(Sensors!$A$2:$A$500,MATCH(CONCATENATE(E41,F41,G41),Sensors!$K$2:$K$500,0),1))</f>
        <v/>
      </c>
      <c r="Y41" s="19" t="str">
        <f>IF(A41="","",INDEX(Variables!$A$2:$A$500,MATCH(I41,Variables!$B$2:$B$500,0),1))</f>
        <v/>
      </c>
      <c r="Z41" s="19" t="str">
        <f>IF(A41="","",INDEX(UnitsCV!$A$2:$A$500,MATCH(J41,UnitsCV!$B$2:$B$500,0),1))</f>
        <v/>
      </c>
      <c r="AA41" s="19" t="str">
        <f t="shared" si="0"/>
        <v/>
      </c>
      <c r="AB41" s="19" t="str">
        <f t="shared" si="1"/>
        <v/>
      </c>
      <c r="AC41" s="19" t="str">
        <f>IF(A41="","",INDEX(DataTypeCV!$A$2:$A$50,MATCH(K41,DataTypeCV!$B$2:$B$50,0),1))</f>
        <v/>
      </c>
      <c r="AD41" s="19" t="str">
        <f>IF(A41="","",INDEX(UnitsCV!$A$2:$A$500,MATCH(M41,UnitsCV!$B$2:$B$500,0),1))</f>
        <v/>
      </c>
      <c r="AE41" s="19" t="str">
        <f t="shared" si="2"/>
        <v/>
      </c>
      <c r="AF41" s="19" t="str">
        <f t="shared" si="7"/>
        <v/>
      </c>
      <c r="AG41" s="19" t="str">
        <f t="shared" si="8"/>
        <v/>
      </c>
      <c r="AH41" s="19" t="str">
        <f t="shared" si="9"/>
        <v/>
      </c>
      <c r="AI41" s="19" t="str">
        <f>IF(S41="","",INDEX(UnitsCV!$A$2:$A$500,MATCH(S41,UnitsCV!$B$2:$B$500,0),1))</f>
        <v/>
      </c>
      <c r="AJ41" s="18" t="str">
        <f t="shared" si="5"/>
        <v/>
      </c>
      <c r="AL41" t="str">
        <f t="shared" si="6"/>
        <v/>
      </c>
    </row>
    <row r="42" spans="1:38" x14ac:dyDescent="0.2">
      <c r="A42" s="22" t="str">
        <f t="shared" si="4"/>
        <v/>
      </c>
      <c r="B42" s="19"/>
      <c r="C42" s="19"/>
      <c r="D42" s="19"/>
      <c r="E42" s="19"/>
      <c r="F42" s="19"/>
      <c r="G42" s="19"/>
      <c r="H42" s="19"/>
      <c r="I42" s="19"/>
      <c r="J42" s="19"/>
      <c r="K42" s="19"/>
      <c r="L42" s="19"/>
      <c r="M42" s="19"/>
      <c r="N42" s="19"/>
      <c r="O42" s="19"/>
      <c r="P42" s="19"/>
      <c r="Q42" s="19"/>
      <c r="R42" s="19"/>
      <c r="S42" s="18"/>
      <c r="U42" s="66" t="str">
        <f>IF(A42="","",INDEX(Deployment!$A$2:$A$500,MATCH(CONCATENATE($G$4,$H$4,$I$4),Deployment!$L$2:$L$500,0),1))</f>
        <v/>
      </c>
      <c r="V42" s="19" t="str">
        <f>IF(A42="","",INDEX(Sites!$A$4:$A$51,MATCH(B42,Sites!$B$4:$B$51,0),1))</f>
        <v/>
      </c>
      <c r="W42" s="19"/>
      <c r="X42" s="19" t="str">
        <f>IF(A42="","",INDEX(Sensors!$A$2:$A$500,MATCH(CONCATENATE(E42,F42,G42),Sensors!$K$2:$K$500,0),1))</f>
        <v/>
      </c>
      <c r="Y42" s="19" t="str">
        <f>IF(A42="","",INDEX(Variables!$A$2:$A$500,MATCH(I42,Variables!$B$2:$B$500,0),1))</f>
        <v/>
      </c>
      <c r="Z42" s="19" t="str">
        <f>IF(A42="","",INDEX(UnitsCV!$A$2:$A$500,MATCH(J42,UnitsCV!$B$2:$B$500,0),1))</f>
        <v/>
      </c>
      <c r="AA42" s="19" t="str">
        <f t="shared" si="0"/>
        <v/>
      </c>
      <c r="AB42" s="19" t="str">
        <f t="shared" si="1"/>
        <v/>
      </c>
      <c r="AC42" s="19" t="str">
        <f>IF(A42="","",INDEX(DataTypeCV!$A$2:$A$50,MATCH(K42,DataTypeCV!$B$2:$B$50,0),1))</f>
        <v/>
      </c>
      <c r="AD42" s="19" t="str">
        <f>IF(A42="","",INDEX(UnitsCV!$A$2:$A$500,MATCH(M42,UnitsCV!$B$2:$B$500,0),1))</f>
        <v/>
      </c>
      <c r="AE42" s="19" t="str">
        <f t="shared" si="2"/>
        <v/>
      </c>
      <c r="AF42" s="19" t="str">
        <f t="shared" si="7"/>
        <v/>
      </c>
      <c r="AG42" s="19" t="str">
        <f t="shared" si="8"/>
        <v/>
      </c>
      <c r="AH42" s="19" t="str">
        <f t="shared" si="9"/>
        <v/>
      </c>
      <c r="AI42" s="19" t="str">
        <f>IF(S42="","",INDEX(UnitsCV!$A$2:$A$500,MATCH(S42,UnitsCV!$B$2:$B$500,0),1))</f>
        <v/>
      </c>
      <c r="AJ42" s="18" t="str">
        <f t="shared" si="5"/>
        <v/>
      </c>
      <c r="AL42" t="str">
        <f t="shared" si="6"/>
        <v/>
      </c>
    </row>
    <row r="43" spans="1:38" x14ac:dyDescent="0.2">
      <c r="A43" s="22" t="str">
        <f t="shared" si="4"/>
        <v/>
      </c>
      <c r="B43" s="19"/>
      <c r="C43" s="19"/>
      <c r="D43" s="19"/>
      <c r="E43" s="19"/>
      <c r="F43" s="19"/>
      <c r="G43" s="19"/>
      <c r="H43" s="19"/>
      <c r="I43" s="19"/>
      <c r="J43" s="19"/>
      <c r="K43" s="19"/>
      <c r="L43" s="19"/>
      <c r="M43" s="19"/>
      <c r="N43" s="19"/>
      <c r="O43" s="19"/>
      <c r="P43" s="19"/>
      <c r="Q43" s="19"/>
      <c r="R43" s="19"/>
      <c r="S43" s="18"/>
      <c r="U43" s="66" t="str">
        <f>IF(A43="","",INDEX(Deployment!$A$2:$A$500,MATCH(CONCATENATE($G$4,$H$4,$I$4),Deployment!$L$2:$L$500,0),1))</f>
        <v/>
      </c>
      <c r="V43" s="19" t="str">
        <f>IF(A43="","",INDEX(Sites!$A$4:$A$51,MATCH(B43,Sites!$B$4:$B$51,0),1))</f>
        <v/>
      </c>
      <c r="W43" s="19"/>
      <c r="X43" s="19" t="str">
        <f>IF(A43="","",INDEX(Sensors!$A$2:$A$500,MATCH(CONCATENATE(E43,F43,G43),Sensors!$K$2:$K$500,0),1))</f>
        <v/>
      </c>
      <c r="Y43" s="19" t="str">
        <f>IF(A43="","",INDEX(Variables!$A$2:$A$500,MATCH(I43,Variables!$B$2:$B$500,0),1))</f>
        <v/>
      </c>
      <c r="Z43" s="19" t="str">
        <f>IF(A43="","",INDEX(UnitsCV!$A$2:$A$500,MATCH(J43,UnitsCV!$B$2:$B$500,0),1))</f>
        <v/>
      </c>
      <c r="AA43" s="19" t="str">
        <f t="shared" si="0"/>
        <v/>
      </c>
      <c r="AB43" s="19" t="str">
        <f t="shared" si="1"/>
        <v/>
      </c>
      <c r="AC43" s="19" t="str">
        <f>IF(A43="","",INDEX(DataTypeCV!$A$2:$A$50,MATCH(K43,DataTypeCV!$B$2:$B$50,0),1))</f>
        <v/>
      </c>
      <c r="AD43" s="19" t="str">
        <f>IF(A43="","",INDEX(UnitsCV!$A$2:$A$500,MATCH(M43,UnitsCV!$B$2:$B$500,0),1))</f>
        <v/>
      </c>
      <c r="AE43" s="19" t="str">
        <f t="shared" si="2"/>
        <v/>
      </c>
      <c r="AF43" s="19" t="str">
        <f t="shared" si="7"/>
        <v/>
      </c>
      <c r="AG43" s="19" t="str">
        <f t="shared" si="8"/>
        <v/>
      </c>
      <c r="AH43" s="19" t="str">
        <f t="shared" si="9"/>
        <v/>
      </c>
      <c r="AI43" s="19" t="str">
        <f>IF(S43="","",INDEX(UnitsCV!$A$2:$A$500,MATCH(S43,UnitsCV!$B$2:$B$500,0),1))</f>
        <v/>
      </c>
      <c r="AJ43" s="18" t="str">
        <f t="shared" si="5"/>
        <v/>
      </c>
      <c r="AL43" t="str">
        <f t="shared" si="6"/>
        <v/>
      </c>
    </row>
    <row r="44" spans="1:38" x14ac:dyDescent="0.2">
      <c r="A44" s="22" t="str">
        <f t="shared" si="4"/>
        <v/>
      </c>
      <c r="B44" s="19"/>
      <c r="C44" s="19"/>
      <c r="D44" s="19"/>
      <c r="E44" s="19"/>
      <c r="F44" s="19"/>
      <c r="G44" s="19"/>
      <c r="H44" s="19"/>
      <c r="I44" s="19"/>
      <c r="J44" s="19"/>
      <c r="K44" s="19"/>
      <c r="L44" s="19"/>
      <c r="M44" s="19"/>
      <c r="N44" s="19"/>
      <c r="O44" s="19"/>
      <c r="P44" s="19"/>
      <c r="Q44" s="19"/>
      <c r="R44" s="19"/>
      <c r="S44" s="18"/>
      <c r="U44" s="66" t="str">
        <f>IF(A44="","",INDEX(Deployment!$A$2:$A$500,MATCH(CONCATENATE($G$4,$H$4,$I$4),Deployment!$L$2:$L$500,0),1))</f>
        <v/>
      </c>
      <c r="V44" s="19" t="str">
        <f>IF(A44="","",INDEX(Sites!$A$4:$A$51,MATCH(B44,Sites!$B$4:$B$51,0),1))</f>
        <v/>
      </c>
      <c r="W44" s="19"/>
      <c r="X44" s="19" t="str">
        <f>IF(A44="","",INDEX(Sensors!$A$2:$A$500,MATCH(CONCATENATE(E44,F44,G44),Sensors!$K$2:$K$500,0),1))</f>
        <v/>
      </c>
      <c r="Y44" s="19" t="str">
        <f>IF(A44="","",INDEX(Variables!$A$2:$A$500,MATCH(I44,Variables!$B$2:$B$500,0),1))</f>
        <v/>
      </c>
      <c r="Z44" s="19" t="str">
        <f>IF(A44="","",INDEX(UnitsCV!$A$2:$A$500,MATCH(J44,UnitsCV!$B$2:$B$500,0),1))</f>
        <v/>
      </c>
      <c r="AA44" s="19" t="str">
        <f t="shared" si="0"/>
        <v/>
      </c>
      <c r="AB44" s="19" t="str">
        <f t="shared" si="1"/>
        <v/>
      </c>
      <c r="AC44" s="19" t="str">
        <f>IF(A44="","",INDEX(DataTypeCV!$A$2:$A$50,MATCH(K44,DataTypeCV!$B$2:$B$50,0),1))</f>
        <v/>
      </c>
      <c r="AD44" s="19" t="str">
        <f>IF(A44="","",INDEX(UnitsCV!$A$2:$A$500,MATCH(M44,UnitsCV!$B$2:$B$500,0),1))</f>
        <v/>
      </c>
      <c r="AE44" s="19" t="str">
        <f t="shared" si="2"/>
        <v/>
      </c>
      <c r="AF44" s="19" t="str">
        <f t="shared" si="7"/>
        <v/>
      </c>
      <c r="AG44" s="19" t="str">
        <f t="shared" si="8"/>
        <v/>
      </c>
      <c r="AH44" s="19" t="str">
        <f t="shared" si="9"/>
        <v/>
      </c>
      <c r="AI44" s="19" t="str">
        <f>IF(S44="","",INDEX(UnitsCV!$A$2:$A$500,MATCH(S44,UnitsCV!$B$2:$B$500,0),1))</f>
        <v/>
      </c>
      <c r="AJ44" s="18" t="str">
        <f t="shared" si="5"/>
        <v/>
      </c>
      <c r="AL44" t="str">
        <f t="shared" si="6"/>
        <v/>
      </c>
    </row>
    <row r="45" spans="1:38" x14ac:dyDescent="0.2">
      <c r="A45" s="22" t="str">
        <f t="shared" si="4"/>
        <v/>
      </c>
      <c r="B45" s="19"/>
      <c r="C45" s="19"/>
      <c r="D45" s="19"/>
      <c r="E45" s="19"/>
      <c r="F45" s="19"/>
      <c r="G45" s="19"/>
      <c r="H45" s="19"/>
      <c r="I45" s="19"/>
      <c r="J45" s="19"/>
      <c r="K45" s="19"/>
      <c r="L45" s="19"/>
      <c r="M45" s="19"/>
      <c r="N45" s="19"/>
      <c r="O45" s="19"/>
      <c r="P45" s="19"/>
      <c r="Q45" s="19"/>
      <c r="R45" s="19"/>
      <c r="S45" s="18"/>
      <c r="U45" s="66" t="str">
        <f>IF(A45="","",INDEX(Deployment!$A$2:$A$500,MATCH(CONCATENATE($G$4,$H$4,$I$4),Deployment!$L$2:$L$500,0),1))</f>
        <v/>
      </c>
      <c r="V45" s="19" t="str">
        <f>IF(A45="","",INDEX(Sites!$A$4:$A$51,MATCH(B45,Sites!$B$4:$B$51,0),1))</f>
        <v/>
      </c>
      <c r="W45" s="19"/>
      <c r="X45" s="19" t="str">
        <f>IF(A45="","",INDEX(Sensors!$A$2:$A$500,MATCH(CONCATENATE(E45,F45,G45),Sensors!$K$2:$K$500,0),1))</f>
        <v/>
      </c>
      <c r="Y45" s="19" t="str">
        <f>IF(A45="","",INDEX(Variables!$A$2:$A$500,MATCH(I45,Variables!$B$2:$B$500,0),1))</f>
        <v/>
      </c>
      <c r="Z45" s="19" t="str">
        <f>IF(A45="","",INDEX(UnitsCV!$A$2:$A$500,MATCH(J45,UnitsCV!$B$2:$B$500,0),1))</f>
        <v/>
      </c>
      <c r="AA45" s="19" t="str">
        <f t="shared" si="0"/>
        <v/>
      </c>
      <c r="AB45" s="19" t="str">
        <f t="shared" si="1"/>
        <v/>
      </c>
      <c r="AC45" s="19" t="str">
        <f>IF(A45="","",INDEX(DataTypeCV!$A$2:$A$50,MATCH(K45,DataTypeCV!$B$2:$B$50,0),1))</f>
        <v/>
      </c>
      <c r="AD45" s="19" t="str">
        <f>IF(A45="","",INDEX(UnitsCV!$A$2:$A$500,MATCH(M45,UnitsCV!$B$2:$B$500,0),1))</f>
        <v/>
      </c>
      <c r="AE45" s="19" t="str">
        <f t="shared" si="2"/>
        <v/>
      </c>
      <c r="AF45" s="19" t="str">
        <f t="shared" si="7"/>
        <v/>
      </c>
      <c r="AG45" s="19" t="str">
        <f t="shared" si="8"/>
        <v/>
      </c>
      <c r="AH45" s="19" t="str">
        <f t="shared" si="9"/>
        <v/>
      </c>
      <c r="AI45" s="19" t="str">
        <f>IF(S45="","",INDEX(UnitsCV!$A$2:$A$500,MATCH(S45,UnitsCV!$B$2:$B$500,0),1))</f>
        <v/>
      </c>
      <c r="AJ45" s="18" t="str">
        <f t="shared" si="5"/>
        <v/>
      </c>
      <c r="AL45" t="str">
        <f t="shared" si="6"/>
        <v/>
      </c>
    </row>
    <row r="46" spans="1:38" x14ac:dyDescent="0.2">
      <c r="A46" s="22" t="str">
        <f t="shared" si="4"/>
        <v/>
      </c>
      <c r="B46" s="19"/>
      <c r="C46" s="19"/>
      <c r="D46" s="19"/>
      <c r="E46" s="19"/>
      <c r="F46" s="19"/>
      <c r="G46" s="19"/>
      <c r="H46" s="19"/>
      <c r="I46" s="19"/>
      <c r="J46" s="19"/>
      <c r="K46" s="19"/>
      <c r="L46" s="19"/>
      <c r="M46" s="19"/>
      <c r="N46" s="19"/>
      <c r="O46" s="19"/>
      <c r="P46" s="19"/>
      <c r="Q46" s="19"/>
      <c r="R46" s="19"/>
      <c r="S46" s="18"/>
      <c r="U46" s="66" t="str">
        <f>IF(A46="","",INDEX(Deployment!$A$2:$A$500,MATCH(CONCATENATE($G$4,$H$4,$I$4),Deployment!$L$2:$L$500,0),1))</f>
        <v/>
      </c>
      <c r="V46" s="19" t="str">
        <f>IF(A46="","",INDEX(Sites!$A$4:$A$51,MATCH(B46,Sites!$B$4:$B$51,0),1))</f>
        <v/>
      </c>
      <c r="W46" s="19"/>
      <c r="X46" s="19" t="str">
        <f>IF(A46="","",INDEX(Sensors!$A$2:$A$500,MATCH(CONCATENATE(E46,F46,G46),Sensors!$K$2:$K$500,0),1))</f>
        <v/>
      </c>
      <c r="Y46" s="19" t="str">
        <f>IF(A46="","",INDEX(Variables!$A$2:$A$500,MATCH(I46,Variables!$B$2:$B$500,0),1))</f>
        <v/>
      </c>
      <c r="Z46" s="19" t="str">
        <f>IF(A46="","",INDEX(UnitsCV!$A$2:$A$500,MATCH(J46,UnitsCV!$B$2:$B$500,0),1))</f>
        <v/>
      </c>
      <c r="AA46" s="19" t="str">
        <f t="shared" si="0"/>
        <v/>
      </c>
      <c r="AB46" s="19" t="str">
        <f t="shared" si="1"/>
        <v/>
      </c>
      <c r="AC46" s="19" t="str">
        <f>IF(A46="","",INDEX(DataTypeCV!$A$2:$A$50,MATCH(K46,DataTypeCV!$B$2:$B$50,0),1))</f>
        <v/>
      </c>
      <c r="AD46" s="19" t="str">
        <f>IF(A46="","",INDEX(UnitsCV!$A$2:$A$500,MATCH(M46,UnitsCV!$B$2:$B$500,0),1))</f>
        <v/>
      </c>
      <c r="AE46" s="19" t="str">
        <f t="shared" si="2"/>
        <v/>
      </c>
      <c r="AF46" s="19" t="str">
        <f t="shared" si="7"/>
        <v/>
      </c>
      <c r="AG46" s="19" t="str">
        <f t="shared" si="8"/>
        <v/>
      </c>
      <c r="AH46" s="19" t="str">
        <f t="shared" si="9"/>
        <v/>
      </c>
      <c r="AI46" s="19" t="str">
        <f>IF(S46="","",INDEX(UnitsCV!$A$2:$A$500,MATCH(S46,UnitsCV!$B$2:$B$500,0),1))</f>
        <v/>
      </c>
      <c r="AJ46" s="18" t="str">
        <f t="shared" si="5"/>
        <v/>
      </c>
      <c r="AL46" t="str">
        <f t="shared" si="6"/>
        <v/>
      </c>
    </row>
    <row r="47" spans="1:38" x14ac:dyDescent="0.2">
      <c r="A47" s="22" t="str">
        <f t="shared" si="4"/>
        <v/>
      </c>
      <c r="B47" s="19"/>
      <c r="C47" s="19"/>
      <c r="D47" s="19"/>
      <c r="E47" s="19"/>
      <c r="F47" s="19"/>
      <c r="G47" s="19"/>
      <c r="H47" s="19"/>
      <c r="I47" s="19"/>
      <c r="J47" s="19"/>
      <c r="K47" s="19"/>
      <c r="L47" s="19"/>
      <c r="M47" s="19"/>
      <c r="N47" s="19"/>
      <c r="O47" s="19"/>
      <c r="P47" s="19"/>
      <c r="Q47" s="19"/>
      <c r="R47" s="19"/>
      <c r="S47" s="18"/>
      <c r="U47" s="66" t="str">
        <f>IF(A47="","",INDEX(Deployment!$A$2:$A$500,MATCH(CONCATENATE($G$4,$H$4,$I$4),Deployment!$L$2:$L$500,0),1))</f>
        <v/>
      </c>
      <c r="V47" s="19" t="str">
        <f>IF(A47="","",INDEX(Sites!$A$4:$A$51,MATCH(B47,Sites!$B$4:$B$51,0),1))</f>
        <v/>
      </c>
      <c r="W47" s="19"/>
      <c r="X47" s="19" t="str">
        <f>IF(A47="","",INDEX(Sensors!$A$2:$A$500,MATCH(CONCATENATE(E47,F47,G47),Sensors!$K$2:$K$500,0),1))</f>
        <v/>
      </c>
      <c r="Y47" s="19" t="str">
        <f>IF(A47="","",INDEX(Variables!$A$2:$A$500,MATCH(I47,Variables!$B$2:$B$500,0),1))</f>
        <v/>
      </c>
      <c r="Z47" s="19" t="str">
        <f>IF(A47="","",INDEX(UnitsCV!$A$2:$A$500,MATCH(J47,UnitsCV!$B$2:$B$500,0),1))</f>
        <v/>
      </c>
      <c r="AA47" s="19" t="str">
        <f t="shared" si="0"/>
        <v/>
      </c>
      <c r="AB47" s="19" t="str">
        <f t="shared" si="1"/>
        <v/>
      </c>
      <c r="AC47" s="19" t="str">
        <f>IF(A47="","",INDEX(DataTypeCV!$A$2:$A$50,MATCH(K47,DataTypeCV!$B$2:$B$50,0),1))</f>
        <v/>
      </c>
      <c r="AD47" s="19" t="str">
        <f>IF(A47="","",INDEX(UnitsCV!$A$2:$A$500,MATCH(M47,UnitsCV!$B$2:$B$500,0),1))</f>
        <v/>
      </c>
      <c r="AE47" s="19" t="str">
        <f t="shared" si="2"/>
        <v/>
      </c>
      <c r="AF47" s="19" t="str">
        <f t="shared" si="7"/>
        <v/>
      </c>
      <c r="AG47" s="19" t="str">
        <f t="shared" si="8"/>
        <v/>
      </c>
      <c r="AH47" s="19" t="str">
        <f t="shared" si="9"/>
        <v/>
      </c>
      <c r="AI47" s="19" t="str">
        <f>IF(S47="","",INDEX(UnitsCV!$A$2:$A$500,MATCH(S47,UnitsCV!$B$2:$B$500,0),1))</f>
        <v/>
      </c>
      <c r="AJ47" s="18" t="str">
        <f t="shared" si="5"/>
        <v/>
      </c>
      <c r="AL47" t="str">
        <f t="shared" si="6"/>
        <v/>
      </c>
    </row>
    <row r="48" spans="1:38" x14ac:dyDescent="0.2">
      <c r="A48" s="22" t="str">
        <f t="shared" si="4"/>
        <v/>
      </c>
      <c r="B48" s="19"/>
      <c r="C48" s="19"/>
      <c r="D48" s="19"/>
      <c r="E48" s="19"/>
      <c r="F48" s="19"/>
      <c r="G48" s="19"/>
      <c r="H48" s="19"/>
      <c r="I48" s="19"/>
      <c r="J48" s="19"/>
      <c r="K48" s="19"/>
      <c r="L48" s="19"/>
      <c r="M48" s="19"/>
      <c r="N48" s="19"/>
      <c r="O48" s="19"/>
      <c r="P48" s="19"/>
      <c r="Q48" s="19"/>
      <c r="R48" s="19"/>
      <c r="S48" s="18"/>
      <c r="U48" s="66" t="str">
        <f>IF(A48="","",INDEX(Deployment!$A$2:$A$500,MATCH(CONCATENATE($G$4,$H$4,$I$4),Deployment!$L$2:$L$500,0),1))</f>
        <v/>
      </c>
      <c r="V48" s="19" t="str">
        <f>IF(A48="","",INDEX(Sites!$A$4:$A$51,MATCH(B48,Sites!$B$4:$B$51,0),1))</f>
        <v/>
      </c>
      <c r="W48" s="19"/>
      <c r="X48" s="19" t="str">
        <f>IF(A48="","",INDEX(Sensors!$A$2:$A$500,MATCH(CONCATENATE(E48,F48,G48),Sensors!$K$2:$K$500,0),1))</f>
        <v/>
      </c>
      <c r="Y48" s="19" t="str">
        <f>IF(A48="","",INDEX(Variables!$A$2:$A$500,MATCH(I48,Variables!$B$2:$B$500,0),1))</f>
        <v/>
      </c>
      <c r="Z48" s="19" t="str">
        <f>IF(A48="","",INDEX(UnitsCV!$A$2:$A$500,MATCH(J48,UnitsCV!$B$2:$B$500,0),1))</f>
        <v/>
      </c>
      <c r="AA48" s="19" t="str">
        <f t="shared" si="0"/>
        <v/>
      </c>
      <c r="AB48" s="19" t="str">
        <f t="shared" si="1"/>
        <v/>
      </c>
      <c r="AC48" s="19" t="str">
        <f>IF(A48="","",INDEX(DataTypeCV!$A$2:$A$50,MATCH(K48,DataTypeCV!$B$2:$B$50,0),1))</f>
        <v/>
      </c>
      <c r="AD48" s="19" t="str">
        <f>IF(A48="","",INDEX(UnitsCV!$A$2:$A$500,MATCH(M48,UnitsCV!$B$2:$B$500,0),1))</f>
        <v/>
      </c>
      <c r="AE48" s="19" t="str">
        <f t="shared" si="2"/>
        <v/>
      </c>
      <c r="AF48" s="19" t="str">
        <f t="shared" si="7"/>
        <v/>
      </c>
      <c r="AG48" s="19" t="str">
        <f t="shared" si="8"/>
        <v/>
      </c>
      <c r="AH48" s="19" t="str">
        <f t="shared" si="9"/>
        <v/>
      </c>
      <c r="AI48" s="19" t="str">
        <f>IF(S48="","",INDEX(UnitsCV!$A$2:$A$500,MATCH(S48,UnitsCV!$B$2:$B$500,0),1))</f>
        <v/>
      </c>
      <c r="AJ48" s="18" t="str">
        <f t="shared" si="5"/>
        <v/>
      </c>
      <c r="AL48" t="str">
        <f t="shared" si="6"/>
        <v/>
      </c>
    </row>
    <row r="49" spans="1:38" x14ac:dyDescent="0.2">
      <c r="A49" s="22" t="str">
        <f t="shared" si="4"/>
        <v/>
      </c>
      <c r="B49" s="19"/>
      <c r="C49" s="19"/>
      <c r="D49" s="19"/>
      <c r="E49" s="19"/>
      <c r="F49" s="19"/>
      <c r="G49" s="19"/>
      <c r="H49" s="19"/>
      <c r="I49" s="19"/>
      <c r="J49" s="19"/>
      <c r="K49" s="19"/>
      <c r="L49" s="19"/>
      <c r="M49" s="19"/>
      <c r="N49" s="19"/>
      <c r="O49" s="19"/>
      <c r="P49" s="19"/>
      <c r="Q49" s="19"/>
      <c r="R49" s="19"/>
      <c r="S49" s="18"/>
      <c r="U49" s="66" t="str">
        <f>IF(A49="","",INDEX(Deployment!$A$2:$A$500,MATCH(CONCATENATE($G$4,$H$4,$I$4),Deployment!$L$2:$L$500,0),1))</f>
        <v/>
      </c>
      <c r="V49" s="19" t="str">
        <f>IF(A49="","",INDEX(Sites!$A$4:$A$51,MATCH(B49,Sites!$B$4:$B$51,0),1))</f>
        <v/>
      </c>
      <c r="W49" s="19"/>
      <c r="X49" s="19" t="str">
        <f>IF(A49="","",INDEX(Sensors!$A$2:$A$500,MATCH(CONCATENATE(E49,F49,G49),Sensors!$K$2:$K$500,0),1))</f>
        <v/>
      </c>
      <c r="Y49" s="19" t="str">
        <f>IF(A49="","",INDEX(Variables!$A$2:$A$500,MATCH(I49,Variables!$B$2:$B$500,0),1))</f>
        <v/>
      </c>
      <c r="Z49" s="19" t="str">
        <f>IF(A49="","",INDEX(UnitsCV!$A$2:$A$500,MATCH(J49,UnitsCV!$B$2:$B$500,0),1))</f>
        <v/>
      </c>
      <c r="AA49" s="19" t="str">
        <f t="shared" si="0"/>
        <v/>
      </c>
      <c r="AB49" s="19" t="str">
        <f t="shared" si="1"/>
        <v/>
      </c>
      <c r="AC49" s="19" t="str">
        <f>IF(A49="","",INDEX(DataTypeCV!$A$2:$A$50,MATCH(K49,DataTypeCV!$B$2:$B$50,0),1))</f>
        <v/>
      </c>
      <c r="AD49" s="19" t="str">
        <f>IF(A49="","",INDEX(UnitsCV!$A$2:$A$500,MATCH(M49,UnitsCV!$B$2:$B$500,0),1))</f>
        <v/>
      </c>
      <c r="AE49" s="19" t="str">
        <f t="shared" si="2"/>
        <v/>
      </c>
      <c r="AF49" s="19" t="str">
        <f t="shared" si="7"/>
        <v/>
      </c>
      <c r="AG49" s="19" t="str">
        <f t="shared" si="8"/>
        <v/>
      </c>
      <c r="AH49" s="19" t="str">
        <f t="shared" si="9"/>
        <v/>
      </c>
      <c r="AI49" s="19" t="str">
        <f>IF(S49="","",INDEX(UnitsCV!$A$2:$A$500,MATCH(S49,UnitsCV!$B$2:$B$500,0),1))</f>
        <v/>
      </c>
      <c r="AJ49" s="18" t="str">
        <f t="shared" si="5"/>
        <v/>
      </c>
      <c r="AL49" t="str">
        <f t="shared" si="6"/>
        <v/>
      </c>
    </row>
    <row r="50" spans="1:38" x14ac:dyDescent="0.2">
      <c r="A50" s="22" t="str">
        <f t="shared" si="4"/>
        <v/>
      </c>
      <c r="B50" s="19"/>
      <c r="C50" s="19"/>
      <c r="D50" s="19"/>
      <c r="E50" s="19"/>
      <c r="F50" s="19"/>
      <c r="G50" s="19"/>
      <c r="H50" s="19"/>
      <c r="I50" s="19"/>
      <c r="J50" s="19"/>
      <c r="K50" s="19"/>
      <c r="L50" s="19"/>
      <c r="M50" s="19"/>
      <c r="N50" s="19"/>
      <c r="O50" s="19"/>
      <c r="P50" s="19"/>
      <c r="Q50" s="19"/>
      <c r="R50" s="19"/>
      <c r="S50" s="18"/>
      <c r="U50" s="66" t="str">
        <f>IF(A50="","",INDEX(Deployment!$A$2:$A$500,MATCH(CONCATENATE($G$4,$H$4,$I$4),Deployment!$L$2:$L$500,0),1))</f>
        <v/>
      </c>
      <c r="V50" s="19" t="str">
        <f>IF(A50="","",INDEX(Sites!$A$4:$A$51,MATCH(B50,Sites!$B$4:$B$51,0),1))</f>
        <v/>
      </c>
      <c r="W50" s="19"/>
      <c r="X50" s="19" t="str">
        <f>IF(A50="","",INDEX(Sensors!$A$2:$A$500,MATCH(CONCATENATE(E50,F50,G50),Sensors!$K$2:$K$500,0),1))</f>
        <v/>
      </c>
      <c r="Y50" s="19" t="str">
        <f>IF(A50="","",INDEX(Variables!$A$2:$A$500,MATCH(I50,Variables!$B$2:$B$500,0),1))</f>
        <v/>
      </c>
      <c r="Z50" s="19" t="str">
        <f>IF(A50="","",INDEX(UnitsCV!$A$2:$A$500,MATCH(J50,UnitsCV!$B$2:$B$500,0),1))</f>
        <v/>
      </c>
      <c r="AA50" s="19" t="str">
        <f t="shared" si="0"/>
        <v/>
      </c>
      <c r="AB50" s="19" t="str">
        <f t="shared" si="1"/>
        <v/>
      </c>
      <c r="AC50" s="19" t="str">
        <f>IF(A50="","",INDEX(DataTypeCV!$A$2:$A$50,MATCH(K50,DataTypeCV!$B$2:$B$50,0),1))</f>
        <v/>
      </c>
      <c r="AD50" s="19" t="str">
        <f>IF(A50="","",INDEX(UnitsCV!$A$2:$A$500,MATCH(M50,UnitsCV!$B$2:$B$500,0),1))</f>
        <v/>
      </c>
      <c r="AE50" s="19" t="str">
        <f t="shared" si="2"/>
        <v/>
      </c>
      <c r="AF50" s="19" t="str">
        <f t="shared" si="7"/>
        <v/>
      </c>
      <c r="AG50" s="19" t="str">
        <f t="shared" si="8"/>
        <v/>
      </c>
      <c r="AH50" s="19" t="str">
        <f t="shared" si="9"/>
        <v/>
      </c>
      <c r="AI50" s="19" t="str">
        <f>IF(S50="","",INDEX(UnitsCV!$A$2:$A$500,MATCH(S50,UnitsCV!$B$2:$B$500,0),1))</f>
        <v/>
      </c>
      <c r="AJ50" s="18" t="str">
        <f t="shared" si="5"/>
        <v/>
      </c>
      <c r="AL50" t="str">
        <f t="shared" si="6"/>
        <v/>
      </c>
    </row>
    <row r="51" spans="1:38" x14ac:dyDescent="0.2">
      <c r="A51" s="22" t="str">
        <f t="shared" si="4"/>
        <v/>
      </c>
      <c r="B51" s="19"/>
      <c r="C51" s="19"/>
      <c r="D51" s="19"/>
      <c r="E51" s="19"/>
      <c r="F51" s="19"/>
      <c r="G51" s="19"/>
      <c r="H51" s="19"/>
      <c r="I51" s="19"/>
      <c r="J51" s="19"/>
      <c r="K51" s="19"/>
      <c r="L51" s="19"/>
      <c r="M51" s="19"/>
      <c r="N51" s="19"/>
      <c r="O51" s="19"/>
      <c r="P51" s="19"/>
      <c r="Q51" s="19"/>
      <c r="R51" s="19"/>
      <c r="S51" s="18"/>
      <c r="U51" s="66" t="str">
        <f>IF(A51="","",INDEX(Deployment!$A$2:$A$500,MATCH(CONCATENATE($G$4,$H$4,$I$4),Deployment!$L$2:$L$500,0),1))</f>
        <v/>
      </c>
      <c r="V51" s="19" t="str">
        <f>IF(A51="","",INDEX(Sites!$A$4:$A$51,MATCH(B51,Sites!$B$4:$B$51,0),1))</f>
        <v/>
      </c>
      <c r="W51" s="19"/>
      <c r="X51" s="19" t="str">
        <f>IF(A51="","",INDEX(Sensors!$A$2:$A$500,MATCH(CONCATENATE(E51,F51,G51),Sensors!$K$2:$K$500,0),1))</f>
        <v/>
      </c>
      <c r="Y51" s="19" t="str">
        <f>IF(A51="","",INDEX(Variables!$A$2:$A$500,MATCH(I51,Variables!$B$2:$B$500,0),1))</f>
        <v/>
      </c>
      <c r="Z51" s="19" t="str">
        <f>IF(A51="","",INDEX(UnitsCV!$A$2:$A$500,MATCH(J51,UnitsCV!$B$2:$B$500,0),1))</f>
        <v/>
      </c>
      <c r="AA51" s="19" t="str">
        <f t="shared" si="0"/>
        <v/>
      </c>
      <c r="AB51" s="19" t="str">
        <f t="shared" si="1"/>
        <v/>
      </c>
      <c r="AC51" s="19" t="str">
        <f>IF(A51="","",INDEX(DataTypeCV!$A$2:$A$50,MATCH(K51,DataTypeCV!$B$2:$B$50,0),1))</f>
        <v/>
      </c>
      <c r="AD51" s="19" t="str">
        <f>IF(A51="","",INDEX(UnitsCV!$A$2:$A$500,MATCH(M51,UnitsCV!$B$2:$B$500,0),1))</f>
        <v/>
      </c>
      <c r="AE51" s="19" t="str">
        <f t="shared" si="2"/>
        <v/>
      </c>
      <c r="AF51" s="19" t="str">
        <f t="shared" si="7"/>
        <v/>
      </c>
      <c r="AG51" s="19" t="str">
        <f t="shared" si="8"/>
        <v/>
      </c>
      <c r="AH51" s="19" t="str">
        <f t="shared" si="9"/>
        <v/>
      </c>
      <c r="AI51" s="19" t="str">
        <f>IF(S51="","",INDEX(UnitsCV!$A$2:$A$500,MATCH(S51,UnitsCV!$B$2:$B$500,0),1))</f>
        <v/>
      </c>
      <c r="AJ51" s="18" t="str">
        <f t="shared" si="5"/>
        <v/>
      </c>
      <c r="AL51" t="str">
        <f t="shared" si="6"/>
        <v/>
      </c>
    </row>
    <row r="52" spans="1:38" x14ac:dyDescent="0.2">
      <c r="A52" s="22" t="str">
        <f t="shared" si="4"/>
        <v/>
      </c>
      <c r="B52" s="19"/>
      <c r="C52" s="19"/>
      <c r="D52" s="19"/>
      <c r="E52" s="19"/>
      <c r="F52" s="19"/>
      <c r="G52" s="19"/>
      <c r="H52" s="19"/>
      <c r="I52" s="19"/>
      <c r="J52" s="19"/>
      <c r="K52" s="19"/>
      <c r="L52" s="19"/>
      <c r="M52" s="19"/>
      <c r="N52" s="19"/>
      <c r="O52" s="19"/>
      <c r="P52" s="19"/>
      <c r="Q52" s="19"/>
      <c r="R52" s="19"/>
      <c r="S52" s="18"/>
      <c r="U52" s="66" t="str">
        <f>IF(A52="","",INDEX(Deployment!$A$2:$A$500,MATCH(CONCATENATE($G$4,$H$4,$I$4),Deployment!$L$2:$L$500,0),1))</f>
        <v/>
      </c>
      <c r="V52" s="19" t="str">
        <f>IF(A52="","",INDEX(Sites!$A$4:$A$51,MATCH(B52,Sites!$B$4:$B$51,0),1))</f>
        <v/>
      </c>
      <c r="W52" s="19"/>
      <c r="X52" s="19" t="str">
        <f>IF(A52="","",INDEX(Sensors!$A$2:$A$500,MATCH(CONCATENATE(E52,F52,G52),Sensors!$K$2:$K$500,0),1))</f>
        <v/>
      </c>
      <c r="Y52" s="19" t="str">
        <f>IF(A52="","",INDEX(Variables!$A$2:$A$500,MATCH(I52,Variables!$B$2:$B$500,0),1))</f>
        <v/>
      </c>
      <c r="Z52" s="19" t="str">
        <f>IF(A52="","",INDEX(UnitsCV!$A$2:$A$500,MATCH(J52,UnitsCV!$B$2:$B$500,0),1))</f>
        <v/>
      </c>
      <c r="AA52" s="19" t="str">
        <f t="shared" si="0"/>
        <v/>
      </c>
      <c r="AB52" s="19" t="str">
        <f t="shared" si="1"/>
        <v/>
      </c>
      <c r="AC52" s="19" t="str">
        <f>IF(A52="","",INDEX(DataTypeCV!$A$2:$A$50,MATCH(K52,DataTypeCV!$B$2:$B$50,0),1))</f>
        <v/>
      </c>
      <c r="AD52" s="19" t="str">
        <f>IF(A52="","",INDEX(UnitsCV!$A$2:$A$500,MATCH(M52,UnitsCV!$B$2:$B$500,0),1))</f>
        <v/>
      </c>
      <c r="AE52" s="19" t="str">
        <f t="shared" si="2"/>
        <v/>
      </c>
      <c r="AF52" s="19" t="str">
        <f t="shared" si="7"/>
        <v/>
      </c>
      <c r="AG52" s="19" t="str">
        <f t="shared" si="8"/>
        <v/>
      </c>
      <c r="AH52" s="19" t="str">
        <f t="shared" si="9"/>
        <v/>
      </c>
      <c r="AI52" s="19" t="str">
        <f>IF(S52="","",INDEX(UnitsCV!$A$2:$A$500,MATCH(S52,UnitsCV!$B$2:$B$500,0),1))</f>
        <v/>
      </c>
      <c r="AJ52" s="18" t="str">
        <f t="shared" si="5"/>
        <v/>
      </c>
      <c r="AL52" t="str">
        <f t="shared" si="6"/>
        <v/>
      </c>
    </row>
    <row r="53" spans="1:38" x14ac:dyDescent="0.2">
      <c r="A53" s="22" t="str">
        <f t="shared" si="4"/>
        <v/>
      </c>
      <c r="B53" s="19"/>
      <c r="C53" s="19"/>
      <c r="D53" s="19"/>
      <c r="E53" s="19"/>
      <c r="F53" s="19"/>
      <c r="G53" s="19"/>
      <c r="H53" s="19"/>
      <c r="I53" s="19"/>
      <c r="J53" s="19"/>
      <c r="K53" s="19"/>
      <c r="L53" s="19"/>
      <c r="M53" s="19"/>
      <c r="N53" s="19"/>
      <c r="O53" s="19"/>
      <c r="P53" s="19"/>
      <c r="Q53" s="19"/>
      <c r="R53" s="19"/>
      <c r="S53" s="18"/>
      <c r="U53" s="66" t="str">
        <f>IF(A53="","",INDEX(Deployment!$A$2:$A$500,MATCH(CONCATENATE($G$4,$H$4,$I$4),Deployment!$L$2:$L$500,0),1))</f>
        <v/>
      </c>
      <c r="V53" s="19" t="str">
        <f>IF(A53="","",INDEX(Sites!$A$4:$A$51,MATCH(B53,Sites!$B$4:$B$51,0),1))</f>
        <v/>
      </c>
      <c r="W53" s="19"/>
      <c r="X53" s="19" t="str">
        <f>IF(A53="","",INDEX(Sensors!$A$2:$A$500,MATCH(CONCATENATE(E53,F53,G53),Sensors!$K$2:$K$500,0),1))</f>
        <v/>
      </c>
      <c r="Y53" s="19" t="str">
        <f>IF(A53="","",INDEX(Variables!$A$2:$A$500,MATCH(I53,Variables!$B$2:$B$500,0),1))</f>
        <v/>
      </c>
      <c r="Z53" s="19" t="str">
        <f>IF(A53="","",INDEX(UnitsCV!$A$2:$A$500,MATCH(J53,UnitsCV!$B$2:$B$500,0),1))</f>
        <v/>
      </c>
      <c r="AA53" s="19" t="str">
        <f t="shared" si="0"/>
        <v/>
      </c>
      <c r="AB53" s="19" t="str">
        <f t="shared" si="1"/>
        <v/>
      </c>
      <c r="AC53" s="19" t="str">
        <f>IF(A53="","",INDEX(DataTypeCV!$A$2:$A$50,MATCH(K53,DataTypeCV!$B$2:$B$50,0),1))</f>
        <v/>
      </c>
      <c r="AD53" s="19" t="str">
        <f>IF(A53="","",INDEX(UnitsCV!$A$2:$A$500,MATCH(M53,UnitsCV!$B$2:$B$500,0),1))</f>
        <v/>
      </c>
      <c r="AE53" s="19" t="str">
        <f t="shared" si="2"/>
        <v/>
      </c>
      <c r="AF53" s="19" t="str">
        <f t="shared" si="7"/>
        <v/>
      </c>
      <c r="AG53" s="19" t="str">
        <f t="shared" si="8"/>
        <v/>
      </c>
      <c r="AH53" s="19" t="str">
        <f t="shared" si="9"/>
        <v/>
      </c>
      <c r="AI53" s="19" t="str">
        <f>IF(S53="","",INDEX(UnitsCV!$A$2:$A$500,MATCH(S53,UnitsCV!$B$2:$B$500,0),1))</f>
        <v/>
      </c>
      <c r="AJ53" s="18" t="str">
        <f t="shared" si="5"/>
        <v/>
      </c>
      <c r="AL53" t="str">
        <f t="shared" si="6"/>
        <v/>
      </c>
    </row>
    <row r="54" spans="1:38" x14ac:dyDescent="0.2">
      <c r="A54" s="22" t="str">
        <f t="shared" si="4"/>
        <v/>
      </c>
      <c r="B54" s="19"/>
      <c r="C54" s="19"/>
      <c r="D54" s="19"/>
      <c r="E54" s="19"/>
      <c r="F54" s="19"/>
      <c r="G54" s="19"/>
      <c r="H54" s="19"/>
      <c r="I54" s="19"/>
      <c r="J54" s="19"/>
      <c r="K54" s="19"/>
      <c r="L54" s="19"/>
      <c r="M54" s="19"/>
      <c r="N54" s="19"/>
      <c r="O54" s="19"/>
      <c r="P54" s="19"/>
      <c r="Q54" s="19"/>
      <c r="R54" s="19"/>
      <c r="S54" s="18"/>
      <c r="U54" s="66" t="str">
        <f>IF(A54="","",INDEX(Deployment!$A$2:$A$500,MATCH(CONCATENATE($G$4,$H$4,$I$4),Deployment!$L$2:$L$500,0),1))</f>
        <v/>
      </c>
      <c r="V54" s="19" t="str">
        <f>IF(A54="","",INDEX(Sites!$A$4:$A$51,MATCH(B54,Sites!$B$4:$B$51,0),1))</f>
        <v/>
      </c>
      <c r="W54" s="19"/>
      <c r="X54" s="19" t="str">
        <f>IF(A54="","",INDEX(Sensors!$A$2:$A$500,MATCH(CONCATENATE(E54,F54,G54),Sensors!$K$2:$K$500,0),1))</f>
        <v/>
      </c>
      <c r="Y54" s="19" t="str">
        <f>IF(A54="","",INDEX(Variables!$A$2:$A$500,MATCH(I54,Variables!$B$2:$B$500,0),1))</f>
        <v/>
      </c>
      <c r="Z54" s="19" t="str">
        <f>IF(A54="","",INDEX(UnitsCV!$A$2:$A$500,MATCH(J54,UnitsCV!$B$2:$B$500,0),1))</f>
        <v/>
      </c>
      <c r="AA54" s="19" t="str">
        <f t="shared" si="0"/>
        <v/>
      </c>
      <c r="AB54" s="19" t="str">
        <f t="shared" si="1"/>
        <v/>
      </c>
      <c r="AC54" s="19" t="str">
        <f>IF(A54="","",INDEX(DataTypeCV!$A$2:$A$50,MATCH(K54,DataTypeCV!$B$2:$B$50,0),1))</f>
        <v/>
      </c>
      <c r="AD54" s="19" t="str">
        <f>IF(A54="","",INDEX(UnitsCV!$A$2:$A$500,MATCH(M54,UnitsCV!$B$2:$B$500,0),1))</f>
        <v/>
      </c>
      <c r="AE54" s="19" t="str">
        <f t="shared" si="2"/>
        <v/>
      </c>
      <c r="AF54" s="19" t="str">
        <f t="shared" si="7"/>
        <v/>
      </c>
      <c r="AG54" s="19" t="str">
        <f t="shared" si="8"/>
        <v/>
      </c>
      <c r="AH54" s="19" t="str">
        <f t="shared" si="9"/>
        <v/>
      </c>
      <c r="AI54" s="19" t="str">
        <f>IF(S54="","",INDEX(UnitsCV!$A$2:$A$500,MATCH(S54,UnitsCV!$B$2:$B$500,0),1))</f>
        <v/>
      </c>
      <c r="AJ54" s="18" t="str">
        <f t="shared" si="5"/>
        <v/>
      </c>
      <c r="AL54" t="str">
        <f t="shared" si="6"/>
        <v/>
      </c>
    </row>
    <row r="55" spans="1:38" x14ac:dyDescent="0.2">
      <c r="A55" s="22" t="str">
        <f t="shared" si="4"/>
        <v/>
      </c>
      <c r="B55" s="19"/>
      <c r="C55" s="19"/>
      <c r="D55" s="19"/>
      <c r="E55" s="19"/>
      <c r="F55" s="19"/>
      <c r="G55" s="19"/>
      <c r="H55" s="19"/>
      <c r="I55" s="19"/>
      <c r="J55" s="19"/>
      <c r="K55" s="19"/>
      <c r="L55" s="19"/>
      <c r="M55" s="19"/>
      <c r="N55" s="19"/>
      <c r="O55" s="19"/>
      <c r="P55" s="19"/>
      <c r="Q55" s="19"/>
      <c r="R55" s="19"/>
      <c r="S55" s="18"/>
      <c r="U55" s="66" t="str">
        <f>IF(A55="","",INDEX(Deployment!$A$2:$A$500,MATCH(CONCATENATE($G$4,$H$4,$I$4),Deployment!$L$2:$L$500,0),1))</f>
        <v/>
      </c>
      <c r="V55" s="19" t="str">
        <f>IF(A55="","",INDEX(Sites!$A$4:$A$51,MATCH(B55,Sites!$B$4:$B$51,0),1))</f>
        <v/>
      </c>
      <c r="W55" s="19"/>
      <c r="X55" s="19" t="str">
        <f>IF(A55="","",INDEX(Sensors!$A$2:$A$500,MATCH(CONCATENATE(E55,F55,G55),Sensors!$K$2:$K$500,0),1))</f>
        <v/>
      </c>
      <c r="Y55" s="19" t="str">
        <f>IF(A55="","",INDEX(Variables!$A$2:$A$500,MATCH(I55,Variables!$B$2:$B$500,0),1))</f>
        <v/>
      </c>
      <c r="Z55" s="19" t="str">
        <f>IF(A55="","",INDEX(UnitsCV!$A$2:$A$500,MATCH(J55,UnitsCV!$B$2:$B$500,0),1))</f>
        <v/>
      </c>
      <c r="AA55" s="19" t="str">
        <f t="shared" si="0"/>
        <v/>
      </c>
      <c r="AB55" s="19" t="str">
        <f t="shared" si="1"/>
        <v/>
      </c>
      <c r="AC55" s="19" t="str">
        <f>IF(A55="","",INDEX(DataTypeCV!$A$2:$A$50,MATCH(K55,DataTypeCV!$B$2:$B$50,0),1))</f>
        <v/>
      </c>
      <c r="AD55" s="19" t="str">
        <f>IF(A55="","",INDEX(UnitsCV!$A$2:$A$500,MATCH(M55,UnitsCV!$B$2:$B$500,0),1))</f>
        <v/>
      </c>
      <c r="AE55" s="19" t="str">
        <f t="shared" si="2"/>
        <v/>
      </c>
      <c r="AF55" s="19" t="str">
        <f t="shared" si="7"/>
        <v/>
      </c>
      <c r="AG55" s="19" t="str">
        <f t="shared" si="8"/>
        <v/>
      </c>
      <c r="AH55" s="19" t="str">
        <f t="shared" si="9"/>
        <v/>
      </c>
      <c r="AI55" s="19" t="str">
        <f>IF(S55="","",INDEX(UnitsCV!$A$2:$A$500,MATCH(S55,UnitsCV!$B$2:$B$500,0),1))</f>
        <v/>
      </c>
      <c r="AJ55" s="18" t="str">
        <f t="shared" si="5"/>
        <v/>
      </c>
      <c r="AL55" t="str">
        <f t="shared" si="6"/>
        <v/>
      </c>
    </row>
    <row r="56" spans="1:38" x14ac:dyDescent="0.2">
      <c r="A56" s="22" t="str">
        <f t="shared" si="4"/>
        <v/>
      </c>
      <c r="B56" s="19"/>
      <c r="C56" s="19"/>
      <c r="D56" s="19"/>
      <c r="E56" s="19"/>
      <c r="F56" s="19"/>
      <c r="G56" s="19"/>
      <c r="H56" s="19"/>
      <c r="I56" s="19"/>
      <c r="J56" s="19"/>
      <c r="K56" s="19"/>
      <c r="L56" s="19"/>
      <c r="M56" s="19"/>
      <c r="N56" s="19"/>
      <c r="O56" s="19"/>
      <c r="P56" s="19"/>
      <c r="Q56" s="19"/>
      <c r="R56" s="19"/>
      <c r="S56" s="18"/>
      <c r="U56" s="66" t="str">
        <f>IF(A56="","",INDEX(Deployment!$A$2:$A$500,MATCH(CONCATENATE($G$4,$H$4,$I$4),Deployment!$L$2:$L$500,0),1))</f>
        <v/>
      </c>
      <c r="V56" s="19" t="str">
        <f>IF(A56="","",INDEX(Sites!$A$4:$A$51,MATCH(B56,Sites!$B$4:$B$51,0),1))</f>
        <v/>
      </c>
      <c r="W56" s="19"/>
      <c r="X56" s="19" t="str">
        <f>IF(A56="","",INDEX(Sensors!$A$2:$A$500,MATCH(CONCATENATE(E56,F56,G56),Sensors!$K$2:$K$500,0),1))</f>
        <v/>
      </c>
      <c r="Y56" s="19" t="str">
        <f>IF(A56="","",INDEX(Variables!$A$2:$A$500,MATCH(I56,Variables!$B$2:$B$500,0),1))</f>
        <v/>
      </c>
      <c r="Z56" s="19" t="str">
        <f>IF(A56="","",INDEX(UnitsCV!$A$2:$A$500,MATCH(J56,UnitsCV!$B$2:$B$500,0),1))</f>
        <v/>
      </c>
      <c r="AA56" s="19" t="str">
        <f t="shared" si="0"/>
        <v/>
      </c>
      <c r="AB56" s="19" t="str">
        <f t="shared" si="1"/>
        <v/>
      </c>
      <c r="AC56" s="19" t="str">
        <f>IF(A56="","",INDEX(DataTypeCV!$A$2:$A$50,MATCH(K56,DataTypeCV!$B$2:$B$50,0),1))</f>
        <v/>
      </c>
      <c r="AD56" s="19" t="str">
        <f>IF(A56="","",INDEX(UnitsCV!$A$2:$A$500,MATCH(M56,UnitsCV!$B$2:$B$500,0),1))</f>
        <v/>
      </c>
      <c r="AE56" s="19" t="str">
        <f t="shared" si="2"/>
        <v/>
      </c>
      <c r="AF56" s="19" t="str">
        <f t="shared" si="7"/>
        <v/>
      </c>
      <c r="AG56" s="19" t="str">
        <f t="shared" si="8"/>
        <v/>
      </c>
      <c r="AH56" s="19" t="str">
        <f t="shared" si="9"/>
        <v/>
      </c>
      <c r="AI56" s="19" t="str">
        <f>IF(S56="","",INDEX(UnitsCV!$A$2:$A$500,MATCH(S56,UnitsCV!$B$2:$B$500,0),1))</f>
        <v/>
      </c>
      <c r="AJ56" s="18" t="str">
        <f t="shared" si="5"/>
        <v/>
      </c>
      <c r="AL56" t="str">
        <f t="shared" si="6"/>
        <v/>
      </c>
    </row>
    <row r="57" spans="1:38" x14ac:dyDescent="0.2">
      <c r="A57" s="22" t="str">
        <f t="shared" si="4"/>
        <v/>
      </c>
      <c r="B57" s="19"/>
      <c r="C57" s="19"/>
      <c r="D57" s="19"/>
      <c r="E57" s="19"/>
      <c r="F57" s="19"/>
      <c r="G57" s="19"/>
      <c r="H57" s="19"/>
      <c r="I57" s="19"/>
      <c r="J57" s="19"/>
      <c r="K57" s="19"/>
      <c r="L57" s="19"/>
      <c r="M57" s="19"/>
      <c r="N57" s="19"/>
      <c r="O57" s="19"/>
      <c r="P57" s="19"/>
      <c r="Q57" s="19"/>
      <c r="R57" s="19"/>
      <c r="S57" s="18"/>
      <c r="U57" s="66" t="str">
        <f>IF(A57="","",INDEX(Deployment!$A$2:$A$500,MATCH(CONCATENATE($G$4,$H$4,$I$4),Deployment!$L$2:$L$500,0),1))</f>
        <v/>
      </c>
      <c r="V57" s="19" t="str">
        <f>IF(A57="","",INDEX(Sites!$A$4:$A$51,MATCH(B57,Sites!$B$4:$B$51,0),1))</f>
        <v/>
      </c>
      <c r="W57" s="19"/>
      <c r="X57" s="19" t="str">
        <f>IF(A57="","",INDEX(Sensors!$A$2:$A$500,MATCH(CONCATENATE(E57,F57,G57),Sensors!$K$2:$K$500,0),1))</f>
        <v/>
      </c>
      <c r="Y57" s="19" t="str">
        <f>IF(A57="","",INDEX(Variables!$A$2:$A$500,MATCH(I57,Variables!$B$2:$B$500,0),1))</f>
        <v/>
      </c>
      <c r="Z57" s="19" t="str">
        <f>IF(A57="","",INDEX(UnitsCV!$A$2:$A$500,MATCH(J57,UnitsCV!$B$2:$B$500,0),1))</f>
        <v/>
      </c>
      <c r="AA57" s="19" t="str">
        <f t="shared" si="0"/>
        <v/>
      </c>
      <c r="AB57" s="19" t="str">
        <f t="shared" si="1"/>
        <v/>
      </c>
      <c r="AC57" s="19" t="str">
        <f>IF(A57="","",INDEX(DataTypeCV!$A$2:$A$50,MATCH(K57,DataTypeCV!$B$2:$B$50,0),1))</f>
        <v/>
      </c>
      <c r="AD57" s="19" t="str">
        <f>IF(A57="","",INDEX(UnitsCV!$A$2:$A$500,MATCH(M57,UnitsCV!$B$2:$B$500,0),1))</f>
        <v/>
      </c>
      <c r="AE57" s="19" t="str">
        <f t="shared" si="2"/>
        <v/>
      </c>
      <c r="AF57" s="19" t="str">
        <f t="shared" si="7"/>
        <v/>
      </c>
      <c r="AG57" s="19" t="str">
        <f t="shared" si="8"/>
        <v/>
      </c>
      <c r="AH57" s="19" t="str">
        <f t="shared" si="9"/>
        <v/>
      </c>
      <c r="AI57" s="19" t="str">
        <f>IF(S57="","",INDEX(UnitsCV!$A$2:$A$500,MATCH(S57,UnitsCV!$B$2:$B$500,0),1))</f>
        <v/>
      </c>
      <c r="AJ57" s="18" t="str">
        <f t="shared" si="5"/>
        <v/>
      </c>
      <c r="AL57" t="str">
        <f t="shared" si="6"/>
        <v/>
      </c>
    </row>
    <row r="58" spans="1:38" x14ac:dyDescent="0.2">
      <c r="A58" s="22" t="str">
        <f t="shared" si="4"/>
        <v/>
      </c>
      <c r="B58" s="19"/>
      <c r="C58" s="19"/>
      <c r="D58" s="19"/>
      <c r="E58" s="19"/>
      <c r="F58" s="19"/>
      <c r="G58" s="19"/>
      <c r="H58" s="19"/>
      <c r="I58" s="19"/>
      <c r="J58" s="19"/>
      <c r="K58" s="19"/>
      <c r="L58" s="19"/>
      <c r="M58" s="19"/>
      <c r="N58" s="19"/>
      <c r="O58" s="19"/>
      <c r="P58" s="19"/>
      <c r="Q58" s="19"/>
      <c r="R58" s="19"/>
      <c r="S58" s="18"/>
      <c r="U58" s="66" t="str">
        <f>IF(A58="","",INDEX(Deployment!$A$2:$A$500,MATCH(CONCATENATE($G$4,$H$4,$I$4),Deployment!$L$2:$L$500,0),1))</f>
        <v/>
      </c>
      <c r="V58" s="19" t="str">
        <f>IF(A58="","",INDEX(Sites!$A$4:$A$51,MATCH(B58,Sites!$B$4:$B$51,0),1))</f>
        <v/>
      </c>
      <c r="W58" s="19"/>
      <c r="X58" s="19" t="str">
        <f>IF(A58="","",INDEX(Sensors!$A$2:$A$500,MATCH(CONCATENATE(E58,F58,G58),Sensors!$K$2:$K$500,0),1))</f>
        <v/>
      </c>
      <c r="Y58" s="19" t="str">
        <f>IF(A58="","",INDEX(Variables!$A$2:$A$500,MATCH(I58,Variables!$B$2:$B$500,0),1))</f>
        <v/>
      </c>
      <c r="Z58" s="19" t="str">
        <f>IF(A58="","",INDEX(UnitsCV!$A$2:$A$500,MATCH(J58,UnitsCV!$B$2:$B$500,0),1))</f>
        <v/>
      </c>
      <c r="AA58" s="19" t="str">
        <f t="shared" si="0"/>
        <v/>
      </c>
      <c r="AB58" s="19" t="str">
        <f t="shared" si="1"/>
        <v/>
      </c>
      <c r="AC58" s="19" t="str">
        <f>IF(A58="","",INDEX(DataTypeCV!$A$2:$A$50,MATCH(K58,DataTypeCV!$B$2:$B$50,0),1))</f>
        <v/>
      </c>
      <c r="AD58" s="19" t="str">
        <f>IF(A58="","",INDEX(UnitsCV!$A$2:$A$500,MATCH(M58,UnitsCV!$B$2:$B$500,0),1))</f>
        <v/>
      </c>
      <c r="AE58" s="19" t="str">
        <f t="shared" si="2"/>
        <v/>
      </c>
      <c r="AF58" s="19" t="str">
        <f t="shared" si="7"/>
        <v/>
      </c>
      <c r="AG58" s="19" t="str">
        <f t="shared" si="8"/>
        <v/>
      </c>
      <c r="AH58" s="19" t="str">
        <f t="shared" si="9"/>
        <v/>
      </c>
      <c r="AI58" s="19" t="str">
        <f>IF(S58="","",INDEX(UnitsCV!$A$2:$A$500,MATCH(S58,UnitsCV!$B$2:$B$500,0),1))</f>
        <v/>
      </c>
      <c r="AJ58" s="18" t="str">
        <f t="shared" si="5"/>
        <v/>
      </c>
      <c r="AL58" t="str">
        <f t="shared" si="6"/>
        <v/>
      </c>
    </row>
    <row r="59" spans="1:38" x14ac:dyDescent="0.2">
      <c r="A59" s="22" t="str">
        <f t="shared" si="4"/>
        <v/>
      </c>
      <c r="B59" s="19"/>
      <c r="C59" s="19"/>
      <c r="D59" s="19"/>
      <c r="E59" s="19"/>
      <c r="F59" s="19"/>
      <c r="G59" s="19"/>
      <c r="H59" s="19"/>
      <c r="I59" s="19"/>
      <c r="J59" s="19"/>
      <c r="K59" s="19"/>
      <c r="L59" s="19"/>
      <c r="M59" s="19"/>
      <c r="N59" s="19"/>
      <c r="O59" s="19"/>
      <c r="P59" s="19"/>
      <c r="Q59" s="19"/>
      <c r="R59" s="19"/>
      <c r="S59" s="18"/>
      <c r="U59" s="66" t="str">
        <f>IF(A59="","",INDEX(Deployment!$A$2:$A$500,MATCH(CONCATENATE($G$4,$H$4,$I$4),Deployment!$L$2:$L$500,0),1))</f>
        <v/>
      </c>
      <c r="V59" s="19" t="str">
        <f>IF(A59="","",INDEX(Sites!$A$4:$A$51,MATCH(B59,Sites!$B$4:$B$51,0),1))</f>
        <v/>
      </c>
      <c r="W59" s="19"/>
      <c r="X59" s="19" t="str">
        <f>IF(A59="","",INDEX(Sensors!$A$2:$A$500,MATCH(CONCATENATE(E59,F59,G59),Sensors!$K$2:$K$500,0),1))</f>
        <v/>
      </c>
      <c r="Y59" s="19" t="str">
        <f>IF(A59="","",INDEX(Variables!$A$2:$A$500,MATCH(I59,Variables!$B$2:$B$500,0),1))</f>
        <v/>
      </c>
      <c r="Z59" s="19" t="str">
        <f>IF(A59="","",INDEX(UnitsCV!$A$2:$A$500,MATCH(J59,UnitsCV!$B$2:$B$500,0),1))</f>
        <v/>
      </c>
      <c r="AA59" s="19" t="str">
        <f t="shared" si="0"/>
        <v/>
      </c>
      <c r="AB59" s="19" t="str">
        <f t="shared" si="1"/>
        <v/>
      </c>
      <c r="AC59" s="19" t="str">
        <f>IF(A59="","",INDEX(DataTypeCV!$A$2:$A$50,MATCH(K59,DataTypeCV!$B$2:$B$50,0),1))</f>
        <v/>
      </c>
      <c r="AD59" s="19" t="str">
        <f>IF(A59="","",INDEX(UnitsCV!$A$2:$A$500,MATCH(M59,UnitsCV!$B$2:$B$500,0),1))</f>
        <v/>
      </c>
      <c r="AE59" s="19" t="str">
        <f t="shared" si="2"/>
        <v/>
      </c>
      <c r="AF59" s="19" t="str">
        <f t="shared" si="7"/>
        <v/>
      </c>
      <c r="AG59" s="19" t="str">
        <f t="shared" si="8"/>
        <v/>
      </c>
      <c r="AH59" s="19" t="str">
        <f t="shared" si="9"/>
        <v/>
      </c>
      <c r="AI59" s="19" t="str">
        <f>IF(S59="","",INDEX(UnitsCV!$A$2:$A$500,MATCH(S59,UnitsCV!$B$2:$B$500,0),1))</f>
        <v/>
      </c>
      <c r="AJ59" s="18" t="str">
        <f t="shared" si="5"/>
        <v/>
      </c>
      <c r="AL59" t="str">
        <f t="shared" si="6"/>
        <v/>
      </c>
    </row>
    <row r="60" spans="1:38" x14ac:dyDescent="0.2">
      <c r="A60" s="22" t="str">
        <f t="shared" si="4"/>
        <v/>
      </c>
      <c r="B60" s="19"/>
      <c r="C60" s="19"/>
      <c r="D60" s="19"/>
      <c r="E60" s="19"/>
      <c r="F60" s="19"/>
      <c r="G60" s="19"/>
      <c r="H60" s="19"/>
      <c r="I60" s="19"/>
      <c r="J60" s="19"/>
      <c r="K60" s="19"/>
      <c r="L60" s="19"/>
      <c r="M60" s="19"/>
      <c r="N60" s="19"/>
      <c r="O60" s="19"/>
      <c r="P60" s="19"/>
      <c r="Q60" s="19"/>
      <c r="R60" s="19"/>
      <c r="S60" s="18"/>
      <c r="U60" s="66" t="str">
        <f>IF(A60="","",INDEX(Deployment!$A$2:$A$500,MATCH(CONCATENATE($G$4,$H$4,$I$4),Deployment!$L$2:$L$500,0),1))</f>
        <v/>
      </c>
      <c r="V60" s="19" t="str">
        <f>IF(A60="","",INDEX(Sites!$A$4:$A$51,MATCH(B60,Sites!$B$4:$B$51,0),1))</f>
        <v/>
      </c>
      <c r="W60" s="19"/>
      <c r="X60" s="19" t="str">
        <f>IF(A60="","",INDEX(Sensors!$A$2:$A$500,MATCH(CONCATENATE(E60,F60,G60),Sensors!$K$2:$K$500,0),1))</f>
        <v/>
      </c>
      <c r="Y60" s="19" t="str">
        <f>IF(A60="","",INDEX(Variables!$A$2:$A$500,MATCH(I60,Variables!$B$2:$B$500,0),1))</f>
        <v/>
      </c>
      <c r="Z60" s="19" t="str">
        <f>IF(A60="","",INDEX(UnitsCV!$A$2:$A$500,MATCH(J60,UnitsCV!$B$2:$B$500,0),1))</f>
        <v/>
      </c>
      <c r="AA60" s="19" t="str">
        <f t="shared" si="0"/>
        <v/>
      </c>
      <c r="AB60" s="19" t="str">
        <f t="shared" si="1"/>
        <v/>
      </c>
      <c r="AC60" s="19" t="str">
        <f>IF(A60="","",INDEX(DataTypeCV!$A$2:$A$50,MATCH(K60,DataTypeCV!$B$2:$B$50,0),1))</f>
        <v/>
      </c>
      <c r="AD60" s="19" t="str">
        <f>IF(A60="","",INDEX(UnitsCV!$A$2:$A$500,MATCH(M60,UnitsCV!$B$2:$B$500,0),1))</f>
        <v/>
      </c>
      <c r="AE60" s="19" t="str">
        <f t="shared" si="2"/>
        <v/>
      </c>
      <c r="AF60" s="19" t="str">
        <f t="shared" si="7"/>
        <v/>
      </c>
      <c r="AG60" s="19" t="str">
        <f t="shared" si="8"/>
        <v/>
      </c>
      <c r="AH60" s="19" t="str">
        <f t="shared" si="9"/>
        <v/>
      </c>
      <c r="AI60" s="19" t="str">
        <f>IF(S60="","",INDEX(UnitsCV!$A$2:$A$500,MATCH(S60,UnitsCV!$B$2:$B$500,0),1))</f>
        <v/>
      </c>
      <c r="AJ60" s="18" t="str">
        <f t="shared" si="5"/>
        <v/>
      </c>
      <c r="AL60" t="str">
        <f t="shared" si="6"/>
        <v/>
      </c>
    </row>
    <row r="61" spans="1:38" x14ac:dyDescent="0.2">
      <c r="A61" s="22" t="str">
        <f t="shared" si="4"/>
        <v/>
      </c>
      <c r="B61" s="19"/>
      <c r="C61" s="19"/>
      <c r="D61" s="19"/>
      <c r="E61" s="19"/>
      <c r="F61" s="19"/>
      <c r="G61" s="19"/>
      <c r="H61" s="19"/>
      <c r="I61" s="19"/>
      <c r="J61" s="19"/>
      <c r="K61" s="19"/>
      <c r="L61" s="19"/>
      <c r="M61" s="19"/>
      <c r="N61" s="19"/>
      <c r="O61" s="19"/>
      <c r="P61" s="19"/>
      <c r="Q61" s="19"/>
      <c r="R61" s="19"/>
      <c r="S61" s="18"/>
      <c r="U61" s="66" t="str">
        <f>IF(A61="","",INDEX(Deployment!$A$2:$A$500,MATCH(CONCATENATE($G$4,$H$4,$I$4),Deployment!$L$2:$L$500,0),1))</f>
        <v/>
      </c>
      <c r="V61" s="19" t="str">
        <f>IF(A61="","",INDEX(Sites!$A$4:$A$51,MATCH(B61,Sites!$B$4:$B$51,0),1))</f>
        <v/>
      </c>
      <c r="W61" s="19"/>
      <c r="X61" s="19" t="str">
        <f>IF(A61="","",INDEX(Sensors!$A$2:$A$500,MATCH(CONCATENATE(E61,F61,G61),Sensors!$K$2:$K$500,0),1))</f>
        <v/>
      </c>
      <c r="Y61" s="19" t="str">
        <f>IF(A61="","",INDEX(Variables!$A$2:$A$500,MATCH(I61,Variables!$B$2:$B$500,0),1))</f>
        <v/>
      </c>
      <c r="Z61" s="19" t="str">
        <f>IF(A61="","",INDEX(UnitsCV!$A$2:$A$500,MATCH(J61,UnitsCV!$B$2:$B$500,0),1))</f>
        <v/>
      </c>
      <c r="AA61" s="19" t="str">
        <f t="shared" si="0"/>
        <v/>
      </c>
      <c r="AB61" s="19" t="str">
        <f t="shared" si="1"/>
        <v/>
      </c>
      <c r="AC61" s="19" t="str">
        <f>IF(A61="","",INDEX(DataTypeCV!$A$2:$A$50,MATCH(K61,DataTypeCV!$B$2:$B$50,0),1))</f>
        <v/>
      </c>
      <c r="AD61" s="19" t="str">
        <f>IF(A61="","",INDEX(UnitsCV!$A$2:$A$500,MATCH(M61,UnitsCV!$B$2:$B$500,0),1))</f>
        <v/>
      </c>
      <c r="AE61" s="19" t="str">
        <f t="shared" si="2"/>
        <v/>
      </c>
      <c r="AF61" s="19" t="str">
        <f t="shared" si="7"/>
        <v/>
      </c>
      <c r="AG61" s="19" t="str">
        <f t="shared" si="8"/>
        <v/>
      </c>
      <c r="AH61" s="19" t="str">
        <f t="shared" si="9"/>
        <v/>
      </c>
      <c r="AI61" s="19" t="str">
        <f>IF(S61="","",INDEX(UnitsCV!$A$2:$A$500,MATCH(S61,UnitsCV!$B$2:$B$500,0),1))</f>
        <v/>
      </c>
      <c r="AJ61" s="18" t="str">
        <f t="shared" si="5"/>
        <v/>
      </c>
      <c r="AL61" t="str">
        <f t="shared" si="6"/>
        <v/>
      </c>
    </row>
    <row r="62" spans="1:38" x14ac:dyDescent="0.2">
      <c r="A62" s="22" t="str">
        <f t="shared" si="4"/>
        <v/>
      </c>
      <c r="B62" s="19"/>
      <c r="C62" s="19"/>
      <c r="D62" s="19"/>
      <c r="E62" s="19"/>
      <c r="F62" s="19"/>
      <c r="G62" s="19"/>
      <c r="H62" s="19"/>
      <c r="I62" s="19"/>
      <c r="J62" s="19"/>
      <c r="K62" s="19"/>
      <c r="L62" s="19"/>
      <c r="M62" s="19"/>
      <c r="N62" s="19"/>
      <c r="O62" s="19"/>
      <c r="P62" s="19"/>
      <c r="Q62" s="19"/>
      <c r="R62" s="19"/>
      <c r="S62" s="18"/>
      <c r="U62" s="66" t="str">
        <f>IF(A62="","",INDEX(Deployment!$A$2:$A$500,MATCH(CONCATENATE($G$4,$H$4,$I$4),Deployment!$L$2:$L$500,0),1))</f>
        <v/>
      </c>
      <c r="V62" s="19" t="str">
        <f>IF(A62="","",INDEX(Sites!$A$4:$A$51,MATCH(B62,Sites!$B$4:$B$51,0),1))</f>
        <v/>
      </c>
      <c r="W62" s="19"/>
      <c r="X62" s="19" t="str">
        <f>IF(A62="","",INDEX(Sensors!$A$2:$A$500,MATCH(CONCATENATE(E62,F62,G62),Sensors!$K$2:$K$500,0),1))</f>
        <v/>
      </c>
      <c r="Y62" s="19" t="str">
        <f>IF(A62="","",INDEX(Variables!$A$2:$A$500,MATCH(I62,Variables!$B$2:$B$500,0),1))</f>
        <v/>
      </c>
      <c r="Z62" s="19" t="str">
        <f>IF(A62="","",INDEX(UnitsCV!$A$2:$A$500,MATCH(J62,UnitsCV!$B$2:$B$500,0),1))</f>
        <v/>
      </c>
      <c r="AA62" s="19" t="str">
        <f t="shared" si="0"/>
        <v/>
      </c>
      <c r="AB62" s="19" t="str">
        <f t="shared" si="1"/>
        <v/>
      </c>
      <c r="AC62" s="19" t="str">
        <f>IF(A62="","",INDEX(DataTypeCV!$A$2:$A$50,MATCH(K62,DataTypeCV!$B$2:$B$50,0),1))</f>
        <v/>
      </c>
      <c r="AD62" s="19" t="str">
        <f>IF(A62="","",INDEX(UnitsCV!$A$2:$A$500,MATCH(M62,UnitsCV!$B$2:$B$500,0),1))</f>
        <v/>
      </c>
      <c r="AE62" s="19" t="str">
        <f t="shared" si="2"/>
        <v/>
      </c>
      <c r="AF62" s="19" t="str">
        <f t="shared" si="7"/>
        <v/>
      </c>
      <c r="AG62" s="19" t="str">
        <f t="shared" si="8"/>
        <v/>
      </c>
      <c r="AH62" s="19" t="str">
        <f t="shared" si="9"/>
        <v/>
      </c>
      <c r="AI62" s="19" t="str">
        <f>IF(S62="","",INDEX(UnitsCV!$A$2:$A$500,MATCH(S62,UnitsCV!$B$2:$B$500,0),1))</f>
        <v/>
      </c>
      <c r="AJ62" s="18" t="str">
        <f t="shared" si="5"/>
        <v/>
      </c>
      <c r="AL62" t="str">
        <f t="shared" si="6"/>
        <v/>
      </c>
    </row>
    <row r="63" spans="1:38" x14ac:dyDescent="0.2">
      <c r="A63" s="22" t="str">
        <f t="shared" si="4"/>
        <v/>
      </c>
      <c r="B63" s="19"/>
      <c r="C63" s="19"/>
      <c r="D63" s="19"/>
      <c r="E63" s="19"/>
      <c r="F63" s="19"/>
      <c r="G63" s="19"/>
      <c r="H63" s="19"/>
      <c r="I63" s="19"/>
      <c r="J63" s="19"/>
      <c r="K63" s="19"/>
      <c r="L63" s="19"/>
      <c r="M63" s="19"/>
      <c r="N63" s="19"/>
      <c r="O63" s="19"/>
      <c r="P63" s="19"/>
      <c r="Q63" s="19"/>
      <c r="R63" s="19"/>
      <c r="S63" s="18"/>
      <c r="U63" s="66" t="str">
        <f>IF(A63="","",INDEX(Deployment!$A$2:$A$500,MATCH(CONCATENATE($G$4,$H$4,$I$4),Deployment!$L$2:$L$500,0),1))</f>
        <v/>
      </c>
      <c r="V63" s="19" t="str">
        <f>IF(A63="","",INDEX(Sites!$A$4:$A$51,MATCH(B63,Sites!$B$4:$B$51,0),1))</f>
        <v/>
      </c>
      <c r="W63" s="19"/>
      <c r="X63" s="19" t="str">
        <f>IF(A63="","",INDEX(Sensors!$A$2:$A$500,MATCH(CONCATENATE(E63,F63,G63),Sensors!$K$2:$K$500,0),1))</f>
        <v/>
      </c>
      <c r="Y63" s="19" t="str">
        <f>IF(A63="","",INDEX(Variables!$A$2:$A$500,MATCH(I63,Variables!$B$2:$B$500,0),1))</f>
        <v/>
      </c>
      <c r="Z63" s="19" t="str">
        <f>IF(A63="","",INDEX(UnitsCV!$A$2:$A$500,MATCH(J63,UnitsCV!$B$2:$B$500,0),1))</f>
        <v/>
      </c>
      <c r="AA63" s="19" t="str">
        <f t="shared" si="0"/>
        <v/>
      </c>
      <c r="AB63" s="19" t="str">
        <f t="shared" si="1"/>
        <v/>
      </c>
      <c r="AC63" s="19" t="str">
        <f>IF(A63="","",INDEX(DataTypeCV!$A$2:$A$50,MATCH(K63,DataTypeCV!$B$2:$B$50,0),1))</f>
        <v/>
      </c>
      <c r="AD63" s="19" t="str">
        <f>IF(A63="","",INDEX(UnitsCV!$A$2:$A$500,MATCH(M63,UnitsCV!$B$2:$B$500,0),1))</f>
        <v/>
      </c>
      <c r="AE63" s="19" t="str">
        <f t="shared" si="2"/>
        <v/>
      </c>
      <c r="AF63" s="19" t="str">
        <f t="shared" si="7"/>
        <v/>
      </c>
      <c r="AG63" s="19" t="str">
        <f t="shared" si="8"/>
        <v/>
      </c>
      <c r="AH63" s="19" t="str">
        <f t="shared" si="9"/>
        <v/>
      </c>
      <c r="AI63" s="19" t="str">
        <f>IF(S63="","",INDEX(UnitsCV!$A$2:$A$500,MATCH(S63,UnitsCV!$B$2:$B$500,0),1))</f>
        <v/>
      </c>
      <c r="AJ63" s="18" t="str">
        <f t="shared" si="5"/>
        <v/>
      </c>
      <c r="AL63" t="str">
        <f t="shared" si="6"/>
        <v/>
      </c>
    </row>
    <row r="64" spans="1:38" ht="13.5" thickBot="1" x14ac:dyDescent="0.25">
      <c r="A64" s="23" t="str">
        <f t="shared" si="4"/>
        <v/>
      </c>
      <c r="B64" s="20"/>
      <c r="C64" s="20"/>
      <c r="D64" s="20"/>
      <c r="E64" s="20"/>
      <c r="F64" s="20"/>
      <c r="G64" s="20"/>
      <c r="H64" s="20"/>
      <c r="I64" s="20"/>
      <c r="J64" s="20"/>
      <c r="K64" s="20"/>
      <c r="L64" s="20"/>
      <c r="M64" s="20"/>
      <c r="N64" s="20"/>
      <c r="O64" s="20"/>
      <c r="P64" s="20"/>
      <c r="Q64" s="20"/>
      <c r="R64" s="20"/>
      <c r="S64" s="21"/>
      <c r="U64" s="67" t="str">
        <f>IF(A64="","",INDEX(Deployment!$A$2:$A$500,MATCH(CONCATENATE($G$4,$H$4,$I$4),Deployment!$L$2:$L$500,0),1))</f>
        <v/>
      </c>
      <c r="V64" s="20" t="str">
        <f>IF(A64="","",INDEX(Sites!$A$4:$A$51,MATCH(B64,Sites!$B$4:$B$51,0),1))</f>
        <v/>
      </c>
      <c r="W64" s="20"/>
      <c r="X64" s="20" t="str">
        <f>IF(A64="","",INDEX(Sensors!$A$2:$A$500,MATCH(CONCATENATE(E64,F64,G64),Sensors!$K$2:$K$500,0),1))</f>
        <v/>
      </c>
      <c r="Y64" s="20" t="str">
        <f>IF(A64="","",INDEX(Variables!$A$2:$A$500,MATCH(I64,Variables!$B$2:$B$500,0),1))</f>
        <v/>
      </c>
      <c r="Z64" s="20" t="str">
        <f>IF(A64="","",INDEX(UnitsCV!$A$2:$A$500,MATCH(J64,UnitsCV!$B$2:$B$500,0),1))</f>
        <v/>
      </c>
      <c r="AA64" s="20" t="str">
        <f t="shared" si="0"/>
        <v/>
      </c>
      <c r="AB64" s="20" t="str">
        <f t="shared" si="1"/>
        <v/>
      </c>
      <c r="AC64" s="20" t="str">
        <f>IF(A64="","",INDEX(DataTypeCV!$A$2:$A$50,MATCH(K64,DataTypeCV!$B$2:$B$50,0),1))</f>
        <v/>
      </c>
      <c r="AD64" s="20" t="str">
        <f>IF(A64="","",INDEX(UnitsCV!$A$2:$A$500,MATCH(M64,UnitsCV!$B$2:$B$500,0),1))</f>
        <v/>
      </c>
      <c r="AE64" s="20" t="str">
        <f t="shared" si="2"/>
        <v/>
      </c>
      <c r="AF64" s="20" t="str">
        <f t="shared" si="7"/>
        <v/>
      </c>
      <c r="AG64" s="20" t="str">
        <f t="shared" si="8"/>
        <v/>
      </c>
      <c r="AH64" s="20" t="str">
        <f t="shared" si="9"/>
        <v/>
      </c>
      <c r="AI64" s="20" t="str">
        <f>IF(S64="","",INDEX(UnitsCV!$A$2:$A$500,MATCH(S64,UnitsCV!$B$2:$B$500,0),1))</f>
        <v/>
      </c>
      <c r="AJ64" s="21" t="str">
        <f t="shared" si="5"/>
        <v/>
      </c>
      <c r="AL64" t="str">
        <f t="shared" si="6"/>
        <v/>
      </c>
    </row>
  </sheetData>
  <mergeCells count="16">
    <mergeCell ref="U15:AJ15"/>
    <mergeCell ref="E8:E12"/>
    <mergeCell ref="E2:E4"/>
    <mergeCell ref="G2:L2"/>
    <mergeCell ref="A6:B6"/>
    <mergeCell ref="A7:B7"/>
    <mergeCell ref="A8:B8"/>
    <mergeCell ref="A9:B9"/>
    <mergeCell ref="A15:S15"/>
    <mergeCell ref="A1:C1"/>
    <mergeCell ref="A10:B10"/>
    <mergeCell ref="A12:B12"/>
    <mergeCell ref="A2:B2"/>
    <mergeCell ref="A3:B3"/>
    <mergeCell ref="A4:B4"/>
    <mergeCell ref="A5:B5"/>
  </mergeCells>
  <conditionalFormatting sqref="B17:C64">
    <cfRule type="expression" dxfId="1" priority="3">
      <formula>A17&lt;&gt;""</formula>
    </cfRule>
  </conditionalFormatting>
  <conditionalFormatting sqref="D17:S64">
    <cfRule type="expression" dxfId="0" priority="5">
      <formula>B17&lt;&gt;""</formula>
    </cfRule>
  </conditionalFormatting>
  <dataValidations count="2">
    <dataValidation type="time" allowBlank="1" showInputMessage="1" showErrorMessage="1" sqref="C4">
      <formula1>0</formula1>
      <formula2>0.999305555555556</formula2>
    </dataValidation>
    <dataValidation type="whole" operator="greaterThanOrEqual" allowBlank="1" showInputMessage="1" showErrorMessage="1" sqref="H7">
      <formula1>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Deploy_Selection">
                <anchor moveWithCells="1" sizeWithCells="1">
                  <from>
                    <xdr:col>5</xdr:col>
                    <xdr:colOff>9525</xdr:colOff>
                    <xdr:row>0</xdr:row>
                    <xdr:rowOff>200025</xdr:rowOff>
                  </from>
                  <to>
                    <xdr:col>5</xdr:col>
                    <xdr:colOff>1038225</xdr:colOff>
                    <xdr:row>4</xdr:row>
                    <xdr:rowOff>152400</xdr:rowOff>
                  </to>
                </anchor>
              </controlPr>
            </control>
          </mc:Choice>
        </mc:AlternateContent>
        <mc:AlternateContent xmlns:mc="http://schemas.openxmlformats.org/markup-compatibility/2006">
          <mc:Choice Requires="x14">
            <control shapeId="15364" r:id="rId5" name="Button 4">
              <controlPr defaultSize="0" print="0" autoFill="0" autoPict="0" macro="[0]!DataSeries_Selection">
                <anchor moveWithCells="1">
                  <from>
                    <xdr:col>5</xdr:col>
                    <xdr:colOff>9525</xdr:colOff>
                    <xdr:row>7</xdr:row>
                    <xdr:rowOff>0</xdr:rowOff>
                  </from>
                  <to>
                    <xdr:col>5</xdr:col>
                    <xdr:colOff>1076325</xdr:colOff>
                    <xdr:row>12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14:formula1>
            <xm:f>OFFSET(Logger!$Q$3:$R$50,MATCH($C$5,Logger!$Q$3:$Q$50,0)-1,1,COUNTIF(Logger!$Q$3:$Q$50,$C$5),1)</xm:f>
          </x14:formula1>
          <xm:sqref>C6</xm:sqref>
        </x14:dataValidation>
        <x14:dataValidation type="list" allowBlank="1" showInputMessage="1" showErrorMessage="1">
          <x14:formula1>
            <xm:f>OFFSET(Logger!$U$3:$W$50,MATCH($C$6,Logger!$V$3:$V$50,0)-1,2,COUNTIF(Logger!$V$3:$V$50,$C$6),1)</xm:f>
          </x14:formula1>
          <xm:sqref>C7</xm:sqref>
        </x14:dataValidation>
        <x14:dataValidation type="list" allowBlank="1" showInputMessage="1" showErrorMessage="1">
          <x14:formula1>
            <xm:f>OFFSET(Logger!$N$3:$N$50,0,0,COUNTA(Logger!$N$3:$N$50),1)</xm:f>
          </x14:formula1>
          <xm:sqref>C5</xm:sqref>
        </x14:dataValidation>
        <x14:dataValidation type="list" allowBlank="1" showInputMessage="1" showErrorMessage="1">
          <x14:formula1>
            <xm:f>OFFSET(Sensors!$T$3:$V$50,MATCH(E17,Sensors!$U$3:$U$50,0)-1,2,COUNTIF(Sensors!$U$3:$U$50,E17),1)</xm:f>
          </x14:formula1>
          <xm:sqref>F17:F64</xm:sqref>
        </x14:dataValidation>
        <x14:dataValidation type="list" allowBlank="1" showInputMessage="1" showErrorMessage="1">
          <x14:formula1>
            <xm:f>OFFSET(Sensors!$Y$3:$AB$50,MATCH(F17,Sensors!$AA$3:$AA$50,0)-1,3,COUNTIF(Sensors!$AA$3:$AA$50,F17),1)</xm:f>
          </x14:formula1>
          <xm:sqref>G17:G64</xm:sqref>
        </x14:dataValidation>
        <x14:dataValidation type="list" allowBlank="1" showInputMessage="1" showErrorMessage="1">
          <x14:formula1>
            <xm:f>OFFSET(Variables!$K$3:$L$500,MATCH(H17,Variables!$K$3:$K$500,0)-1,1,COUNTIF(Variables!$K$3:$K$500,H17),1)</xm:f>
          </x14:formula1>
          <xm:sqref>I17:I64</xm:sqref>
        </x14:dataValidation>
        <x14:dataValidation type="list" allowBlank="1" showInputMessage="1" showErrorMessage="1">
          <x14:formula1>
            <xm:f>DataTypeCV!$B$2:$B$500</xm:f>
          </x14:formula1>
          <xm:sqref>K17:K64</xm:sqref>
        </x14:dataValidation>
        <x14:dataValidation type="list" allowBlank="1" showInputMessage="1" showErrorMessage="1">
          <x14:formula1>
            <xm:f>MediumTypeCV!$B$2:$B$50</xm:f>
          </x14:formula1>
          <xm:sqref>N17:N64</xm:sqref>
        </x14:dataValidation>
        <x14:dataValidation type="list" allowBlank="1" showInputMessage="1" showErrorMessage="1">
          <x14:formula1>
            <xm:f>OFFSET(UnitsCV!$F$3:$G$342,MATCH("Length",UnitsCV!$F$3:$F$500,0)-1,1,COUNTIF(UnitsCV!$F$3:$F$500,"Length"),1)</xm:f>
          </x14:formula1>
          <xm:sqref>S17:S64</xm:sqref>
        </x14:dataValidation>
        <x14:dataValidation type="list" allowBlank="1" showInputMessage="1" showErrorMessage="1">
          <x14:formula1>
            <xm:f>OFFSET(Sensors!$M$3:$M$50,0,0,COUNTA(Sensors!$M$3:$M$50),1)</xm:f>
          </x14:formula1>
          <xm:sqref>D17:D64</xm:sqref>
        </x14:dataValidation>
        <x14:dataValidation type="list" allowBlank="1" showInputMessage="1" showErrorMessage="1">
          <x14:formula1>
            <xm:f>OFFSET(Sensors!$P$3:$Q$50,MATCH(D17,Sensors!$P$3:$P$50,0)-1,1,COUNTIF(Sensors!$P$3:$P$50,D17),1)</xm:f>
          </x14:formula1>
          <xm:sqref>E17:E64</xm:sqref>
        </x14:dataValidation>
        <x14:dataValidation type="list" allowBlank="1" showInputMessage="1" showErrorMessage="1">
          <x14:formula1>
            <xm:f>OFFSET(UnitsCV!$F$3:$G$342,MATCH("Time",UnitsCV!$F$3:$F$500,0)-1,1,COUNTIF(UnitsCV!$F$3:$F$500,"Time"),1)</xm:f>
          </x14:formula1>
          <xm:sqref>M17:M64</xm:sqref>
        </x14:dataValidation>
        <x14:dataValidation type="list" allowBlank="1" showInputMessage="1" showErrorMessage="1">
          <x14:formula1>
            <xm:f>OFFSET(Variables!$H$3:$H$500,0,0,COUNTA(Variables!$H$3:$H$500),1)</xm:f>
          </x14:formula1>
          <xm:sqref>H17:H64</xm:sqref>
        </x14:dataValidation>
        <x14:dataValidation type="list" allowBlank="1" showInputMessage="1" showErrorMessage="1">
          <x14:formula1>
            <xm:f>OFFSET(UnitsCV!$F$3:$G$342,MATCH(H17,UnitsCV!$F$3:$F$500,0)-1,1,COUNTIF(UnitsCV!$F$3:$F$500,H17),1)</xm:f>
          </x14:formula1>
          <xm:sqref>J17:J64</xm:sqref>
        </x14:dataValidation>
        <x14:dataValidation type="list" allowBlank="1" showInputMessage="1" showErrorMessage="1">
          <x14:formula1>
            <xm:f>Sites!$B$4:$B$51</xm:f>
          </x14:formula1>
          <xm:sqref>B17:C64</xm:sqref>
        </x14:dataValidation>
        <x14:dataValidation type="list" allowBlank="1" showInputMessage="1" showErrorMessage="1">
          <x14:formula1>
            <xm:f>People!$B$2:$B$100</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79"/>
  <sheetViews>
    <sheetView zoomScale="125" zoomScaleNormal="125" zoomScalePageLayoutView="125" workbookViewId="0">
      <selection activeCell="E45" sqref="E45"/>
    </sheetView>
  </sheetViews>
  <sheetFormatPr defaultColWidth="8.85546875" defaultRowHeight="12.75" x14ac:dyDescent="0.2"/>
  <cols>
    <col min="1" max="1" width="96.85546875" bestFit="1" customWidth="1"/>
    <col min="2" max="2" width="28.42578125" bestFit="1" customWidth="1"/>
    <col min="3" max="3" width="25.140625" bestFit="1" customWidth="1"/>
    <col min="4" max="4" width="20.42578125" bestFit="1" customWidth="1"/>
    <col min="5" max="5" width="35.7109375" bestFit="1" customWidth="1"/>
  </cols>
  <sheetData>
    <row r="1" spans="1:1" x14ac:dyDescent="0.2">
      <c r="A1" t="s">
        <v>1433</v>
      </c>
    </row>
    <row r="3" spans="1:1" x14ac:dyDescent="0.2">
      <c r="A3" t="str">
        <f>CONCATENATE("TITLE.  Deployment #",INDEX(Deployment!$A$2:$A$500,MATCH(CONCATENATE(DataEntry!$G$4,DataEntry!$H$4,DataEntry!$I$4),Deployment!$L$2:$L$500,0),1)," of Logger #",INDEX(Logger!$A$1:$L$500,MATCH(CONCATENATE(DataEntry!$C$5,DataEntry!$C$6,DataEntry!$C$7),Logger!$L$1:$L$200,0),1)," (",DataEntry!$C$5," ",DataEntry!$C$6," # ",DataEntry!$C$7,")")</f>
        <v>TITLE.  Deployment #47 of Logger #17 (Odyssey Capacitive Water Level # 41048)</v>
      </c>
    </row>
    <row r="4" spans="1:1" x14ac:dyDescent="0.2">
      <c r="A4" t="s">
        <v>1445</v>
      </c>
    </row>
    <row r="5" spans="1:1" x14ac:dyDescent="0.2">
      <c r="A5" t="str">
        <f>CONCATENATE("INVESTIGATOR.  ",DataEntry!$C$9, ", ",VLOOKUP(DataEntry!$G$4,People!$A$2:$M$100,5,FALSE), ", ",VLOOKUP(DataEntry!$G$4,People!$A$2:$M$100,6,FALSE), ", ",VLOOKUP(DataEntry!$G$4,People!$A$2:$M$100,7,FALSE), ", ",VLOOKUP(DataEntry!$G$4,People!$A$2:$M$100,8,FALSE), ", ",VLOOKUP(DataEntry!$G$4,People!$A$2:$M$100,9,FALSE), " ",VLOOKUP(DataEntry!$G$4,People!$A$2:$M$100,10,FALSE), ", ",VLOOKUP(DataEntry!$G$4,People!$A$2:$M$100,11,FALSE), ", ",VLOOKUP(DataEntry!$G$4,People!$A$2:$M$100,13,FALSE))</f>
        <v>INVESTIGATOR.  Geleskie, Sara, Research Technician, Stroud Water Research Center, 970 Spencer Road, Avondale, PA 19311, 610-268-2153 x 248, sgeleskie@stroudcenter.org</v>
      </c>
    </row>
    <row r="6" spans="1:1" x14ac:dyDescent="0.2">
      <c r="A6" t="str">
        <f>SUBSTITUTE(CONCATENATE("VARIABLES.  ",DataEntry!$I$17,", ",DataEntry!$I$18,", ",DataEntry!$I$19,", ",DataEntry!$I$20,", ",DataEntry!$I$21,", ",DataEntry!$I$22,", ",DataEntry!$I$23,", ",DataEntry!$I$24,", ",DataEntry!$I$25,", ",DataEntry!$I$26,", ",DataEntry!$I$27,", ",DataEntry!$I$28,", ",DataEntry!$I$29,", ",DataEntry!$I$30,", ",DataEntry!$I$31,", ",DataEntry!$I$32,", ",DataEntry!$I$33,", ",DataEntry!$I$34,", ",DataEntry!$I$35,", ",DataEntry!$I$36,", ",DataEntry!$I$37,", ",DataEntry!$I$38,", ",DataEntry!$I$39,", ",DataEntry!$I$40,", ",DataEntry!$I$41,", ",DataEntry!$I$42,", ",DataEntry!$I$43,", ",DataEntry!$I$44,", ",DataEntry!$I$45,", ",DataEntry!$I$46,", ",DataEntry!$I$47,", ",DataEntry!$I$48,", ",DataEntry!$I$49,", ",DataEntry!$I$50,", ",DataEntry!$I$51,", ",DataEntry!$I$52,", ",DataEntry!$I$53,", ",DataEntry!$I$54,", ",DataEntry!$I$55,", ",DataEntry!$I$56,", ",DataEntry!$I$57,", ",DataEntry!$I$58,", ",DataEntry!$I$59,", ",DataEntry!$I$60,", ",DataEntry!$I$61,", ",DataEntry!$I$62,", ",DataEntry!$I$63,", ",DataEntry!$I$64),", ,","")</f>
        <v xml:space="preserve">VARIABLES.  Raw Logger Output, Water depth                       </v>
      </c>
    </row>
    <row r="7" spans="1:1" x14ac:dyDescent="0.2">
      <c r="A7" t="s">
        <v>1437</v>
      </c>
    </row>
    <row r="8" spans="1:1" x14ac:dyDescent="0.2">
      <c r="A8" t="str">
        <f>CONCATENATE("COMMENTS.  ",DataEntry!$C$10)</f>
        <v xml:space="preserve">COMMENTS.  </v>
      </c>
    </row>
    <row r="10" spans="1:1" x14ac:dyDescent="0.2">
      <c r="A10" t="s">
        <v>1434</v>
      </c>
    </row>
    <row r="11" spans="1:1" x14ac:dyDescent="0.2">
      <c r="A11" t="s">
        <v>1438</v>
      </c>
    </row>
    <row r="12" spans="1:1" x14ac:dyDescent="0.2">
      <c r="A12" t="s">
        <v>1435</v>
      </c>
    </row>
    <row r="13" spans="1:1" x14ac:dyDescent="0.2">
      <c r="A13" t="str">
        <f>CONCATENATE("DEFAULT_PARAMETER. PersonID=",DataEntry!$K$4)</f>
        <v>DEFAULT_PARAMETER. PersonID=17</v>
      </c>
    </row>
    <row r="14" spans="1:1" x14ac:dyDescent="0.2">
      <c r="A14" t="str">
        <f>CONCATENATE("DEFAULT_PARAMETER. DeploymentID=",INDEX(Deployment!$A$2:$A$500,MATCH(CONCATENATE(DataEntry!$G$4,DataEntry!$H$4,DataEntry!$I$4),Deployment!$L$2:$L$500,0),1))</f>
        <v>DEFAULT_PARAMETER. DeploymentID=47</v>
      </c>
    </row>
    <row r="15" spans="1:1" x14ac:dyDescent="0.2">
      <c r="A15" t="str">
        <f>CONCATENATE("DEFAULT_PARAMETER. LoggerID=",DataEntry!$G$4)</f>
        <v>DEFAULT_PARAMETER. LoggerID=17</v>
      </c>
    </row>
    <row r="16" spans="1:1" x14ac:dyDescent="0.2">
      <c r="A16" t="str">
        <f>CONCATENATE("DEFAULT_PARAMETER. LoggerManufacturer=",DataEntry!$C$5)</f>
        <v>DEFAULT_PARAMETER. LoggerManufacturer=Odyssey</v>
      </c>
    </row>
    <row r="17" spans="1:2" x14ac:dyDescent="0.2">
      <c r="A17" t="str">
        <f>CONCATENATE("DEFAULT_PARAMETER. LoggerModel=",DataEntry!$C$6)</f>
        <v>DEFAULT_PARAMETER. LoggerModel=Capacitive Water Level</v>
      </c>
    </row>
    <row r="18" spans="1:2" x14ac:dyDescent="0.2">
      <c r="A18" t="str">
        <f>CONCATENATE("DEFAULT_PARAMETER. LoggerSerialNumber=",DataEntry!$C$7)</f>
        <v>DEFAULT_PARAMETER. LoggerSerialNumber=41048</v>
      </c>
    </row>
    <row r="19" spans="1:2" x14ac:dyDescent="0.2">
      <c r="A19" t="str">
        <f>CONCATENATE("DEFAULT_PARAMETER. LoggerScriptFile=",DataEntry!$C$8)</f>
        <v>DEFAULT_PARAMETER. LoggerScriptFile=Odyssey</v>
      </c>
    </row>
    <row r="20" spans="1:2" x14ac:dyDescent="0.2">
      <c r="A20" t="str">
        <f>CONCATENATE("DEFAULT_PARAMETER. TimeZone=",IF(DataEntry!$C$4="-5:00","EST",IF(DataEntry!$C$4="-4:00","EDT","")))</f>
        <v>DEFAULT_PARAMETER. TimeZone=EST</v>
      </c>
    </row>
    <row r="21" spans="1:2" x14ac:dyDescent="0.2">
      <c r="A21" t="str">
        <f>CONCATENATE("DEFAULT_PARAMETER. UTCOffset=",IF(DataEntry!$C$4="-5:00",-5,IF(DataEntry!$C$4="-4:00",-4,"")))</f>
        <v>DEFAULT_PARAMETER. UTCOffset=-5</v>
      </c>
    </row>
    <row r="22" spans="1:2" x14ac:dyDescent="0.2">
      <c r="A22" t="str">
        <f>CONCATENATE("DEFAULT_PARAMETER. DataBeginsOnRow=",MATCH("\data",$A$26:$A$79,0)+26)</f>
        <v>DEFAULT_PARAMETER. DataBeginsOnRow=36</v>
      </c>
    </row>
    <row r="23" spans="1:2" x14ac:dyDescent="0.2">
      <c r="A23" t="str">
        <f>CONCATENATE("DEFAULT_PARAMETER. DataFilePrefix= ",VLOOKUP(DataEntry!$G$4,Logger!$A$2:$G$100,2,FALSE),DataEntry!$C$7)</f>
        <v>DEFAULT_PARAMETER. DataFilePrefix= CE41048</v>
      </c>
    </row>
    <row r="26" spans="1:2" x14ac:dyDescent="0.2">
      <c r="A26" t="s">
        <v>1436</v>
      </c>
    </row>
    <row r="27" spans="1:2" x14ac:dyDescent="0.2">
      <c r="B27" t="s">
        <v>1432</v>
      </c>
    </row>
    <row r="28" spans="1:2" x14ac:dyDescent="0.2">
      <c r="A28" s="60" t="s">
        <v>1668</v>
      </c>
    </row>
    <row r="29" spans="1:2" x14ac:dyDescent="0.2">
      <c r="A29" s="7" t="s">
        <v>1684</v>
      </c>
    </row>
    <row r="30" spans="1:2" x14ac:dyDescent="0.2">
      <c r="A30" s="7" t="s">
        <v>1685</v>
      </c>
    </row>
    <row r="31" spans="1:2" x14ac:dyDescent="0.2">
      <c r="A31" t="e">
        <f>IF(ROW(A31)=(33+DataEntry!$C$12),"\data",IF(DataEntry!A17="","",CONCATENATE("COL",DataEntry!A17+3,".  DataSeriesID=",,INDEX(DataSeries!$A$2:$R$500,MATCH(DataEntry!AL17,DataSeries!$AC$2:$AC$500,0),1),", SiteCode=",DataEntry!B17,", InstallationID=",DataEntry!W17,", SensorID=",DataEntry!X17,", SensorManufacturer=",DataEntry!E17,", SensorModel=",DataEntry!F17,", SensorSerialNumber=",DataEntry!G17," ,VariableID=",DataEntry!Y17," ,VariableName=",DataEntry!I17,", VariableUnitID=",DataEntry!Z17,", VariableUnits=",DataEntry!J17,", MediumType=",DataEntry!AE17,", DataType=",DataEntry!K18,",  TimeSupportValue=",DataEntry!L17,", TimeSupportUnitID=",DataEntry!AD17,", Lateral Offset Distance=",DataEntry!O17,", Lateral Offset Direction=",DataEntry!P17,", Z-Offset=",DataEntry!Q17,", OffsetUnitsID=",DataEntry!AI17,", Comments=",DataEntry!S17,", Comments=",DataEntry!S17)))</f>
        <v>#N/A</v>
      </c>
    </row>
    <row r="32" spans="1:2" x14ac:dyDescent="0.2">
      <c r="A32" t="e">
        <f>IF(ROW(A32)=(33+DataEntry!$C$12),"\data",IF(DataEntry!A18="","",CONCATENATE("COL",DataEntry!A18+3,".  DataSeriesID=",,INDEX(DataSeries!$A$2:$R$500,MATCH(DataEntry!AL18,DataSeries!$AC$2:$AC$500,0),1),", SiteCode=",DataEntry!B18,", InstallationID=",DataEntry!W18,", SensorID=",DataEntry!X18,", SensorManufacturer=",DataEntry!E18,", SensorModel=",DataEntry!F18,", SensorSerialNumber=",DataEntry!G18," ,VariableID=",DataEntry!Y18," ,VariableName=",DataEntry!I18,", VariableUnitID=",DataEntry!Z18,", VariableUnits=",DataEntry!J18,", MediumType=",DataEntry!AE18,", DataType=",DataEntry!K19,",  TimeSupportValue=",DataEntry!L18,", TimeSupportUnitID=",DataEntry!AD18,", Lateral Offset Distance=",DataEntry!O18,", Lateral Offset Direction=",DataEntry!P18,", Z-Offset=",DataEntry!Q18,", OffsetUnitsID=",DataEntry!AI18,", Comments=",DataEntry!S18,", Comments=",DataEntry!S18)))</f>
        <v>#N/A</v>
      </c>
    </row>
    <row r="33" spans="1:1" x14ac:dyDescent="0.2">
      <c r="A33" t="str">
        <f>IF(ROW(A33)=(33+DataEntry!$C$12),"\data",IF(DataEntry!A19="","",CONCATENATE("COL",DataEntry!A19+3,".  DataSeriesID=",,INDEX(DataSeries!$A$2:$R$500,MATCH(DataEntry!AL19,DataSeries!$AC$2:$AC$500,0),1),", SiteCode=",DataEntry!B19,", InstallationID=",DataEntry!W19,", SensorID=",DataEntry!X19,", SensorManufacturer=",DataEntry!E19,", SensorModel=",DataEntry!F19,", SensorSerialNumber=",DataEntry!G19," ,VariableID=",DataEntry!Y19," ,VariableName=",DataEntry!I19,", VariableUnitID=",DataEntry!Z19,", VariableUnits=",DataEntry!J19,", MediumType=",DataEntry!AE19,", DataType=",DataEntry!K20,",  TimeSupportValue=",DataEntry!L19,", TimeSupportUnitID=",DataEntry!AD19,", Lateral Offset Distance=",DataEntry!O19,", Lateral Offset Direction=",DataEntry!P19,", Z-Offset=",DataEntry!Q19,", OffsetUnitsID=",DataEntry!AI19,", Comments=",DataEntry!S19,", Comments=",DataEntry!S19)))</f>
        <v/>
      </c>
    </row>
    <row r="34" spans="1:1" x14ac:dyDescent="0.2">
      <c r="A34" t="str">
        <f>IF(ROW(A34)=(33+DataEntry!$C$12),"\data",IF(DataEntry!A20="","",CONCATENATE("COL",DataEntry!A20+3,".  DataSeriesID=",,INDEX(DataSeries!$A$2:$R$500,MATCH(DataEntry!AL20,DataSeries!$AC$2:$AC$500,0),1),", SiteCode=",DataEntry!B20,", InstallationID=",DataEntry!W20,", SensorID=",DataEntry!X20,", SensorManufacturer=",DataEntry!E20,", SensorModel=",DataEntry!F20,", SensorSerialNumber=",DataEntry!G20," ,VariableID=",DataEntry!Y20," ,VariableName=",DataEntry!I20,", VariableUnitID=",DataEntry!Z20,", VariableUnits=",DataEntry!J20,", MediumType=",DataEntry!AE20,", DataType=",DataEntry!K21,",  TimeSupportValue=",DataEntry!L20,", TimeSupportUnitID=",DataEntry!AD20,", Lateral Offset Distance=",DataEntry!O20,", Lateral Offset Direction=",DataEntry!P20,", Z-Offset=",DataEntry!Q20,", OffsetUnitsID=",DataEntry!AI20,", Comments=",DataEntry!S20,", Comments=",DataEntry!S20)))</f>
        <v/>
      </c>
    </row>
    <row r="35" spans="1:1" x14ac:dyDescent="0.2">
      <c r="A35" t="str">
        <f>IF(ROW(A35)=(33+DataEntry!$C$12),"\data",IF(DataEntry!A21="","",CONCATENATE("COL",DataEntry!A21+3,".  DataSeriesID=",,INDEX(DataSeries!$A$2:$R$500,MATCH(DataEntry!AL21,DataSeries!$AC$2:$AC$500,0),1),", SiteCode=",DataEntry!B21,", InstallationID=",DataEntry!W21,", SensorID=",DataEntry!X21,", SensorManufacturer=",DataEntry!E21,", SensorModel=",DataEntry!F21,", SensorSerialNumber=",DataEntry!G21," ,VariableID=",DataEntry!Y21," ,VariableName=",DataEntry!I21,", VariableUnitID=",DataEntry!Z21,", VariableUnits=",DataEntry!J21,", MediumType=",DataEntry!AE21,", DataType=",DataEntry!K22,",  TimeSupportValue=",DataEntry!L21,", TimeSupportUnitID=",DataEntry!AD21,", Lateral Offset Distance=",DataEntry!O21,", Lateral Offset Direction=",DataEntry!P21,", Z-Offset=",DataEntry!Q21,", OffsetUnitsID=",DataEntry!AI21,", Comments=",DataEntry!S21,", Comments=",DataEntry!S21)))</f>
        <v>\data</v>
      </c>
    </row>
    <row r="36" spans="1:1" x14ac:dyDescent="0.2">
      <c r="A36" t="str">
        <f>IF(ROW(A36)=(33+DataEntry!$C$12),"\data",IF(DataEntry!A22="","",CONCATENATE("COL",DataEntry!A22+3,".  DataSeriesID=",,INDEX(DataSeries!$A$2:$R$500,MATCH(DataEntry!AL22,DataSeries!$AC$2:$AC$500,0),1),", SiteCode=",DataEntry!B22,", InstallationID=",DataEntry!W22,", SensorID=",DataEntry!X22,", SensorManufacturer=",DataEntry!E22,", SensorModel=",DataEntry!F22,", SensorSerialNumber=",DataEntry!G22," ,VariableID=",DataEntry!Y22," ,VariableName=",DataEntry!I22,", VariableUnitID=",DataEntry!Z22,", VariableUnits=",DataEntry!J22,", MediumType=",DataEntry!AE22,", DataType=",DataEntry!K23,",  TimeSupportValue=",DataEntry!L22,", TimeSupportUnitID=",DataEntry!AD22,", Lateral Offset Distance=",DataEntry!O22,", Lateral Offset Direction=",DataEntry!P22,", Z-Offset=",DataEntry!Q22,", OffsetUnitsID=",DataEntry!AI22,", Comments=",DataEntry!S22,", Comments=",DataEntry!S22)))</f>
        <v/>
      </c>
    </row>
    <row r="37" spans="1:1" x14ac:dyDescent="0.2">
      <c r="A37" t="str">
        <f>IF(ROW(A37)=(33+DataEntry!$C$12),"\data",IF(DataEntry!A23="","",CONCATENATE("COL",DataEntry!A23+3,".  DataSeriesID=",,INDEX(DataSeries!$A$2:$R$500,MATCH(DataEntry!AL23,DataSeries!$AC$2:$AC$500,0),1),", SiteCode=",DataEntry!B23,", InstallationID=",DataEntry!W23,", SensorID=",DataEntry!X23,", SensorManufacturer=",DataEntry!E23,", SensorModel=",DataEntry!F23,", SensorSerialNumber=",DataEntry!G23," ,VariableID=",DataEntry!Y23," ,VariableName=",DataEntry!I23,", VariableUnitID=",DataEntry!Z23,", VariableUnits=",DataEntry!J23,", MediumType=",DataEntry!AE23,", DataType=",DataEntry!K24,",  TimeSupportValue=",DataEntry!L23,", TimeSupportUnitID=",DataEntry!AD23,", Lateral Offset Distance=",DataEntry!O23,", Lateral Offset Direction=",DataEntry!P23,", Z-Offset=",DataEntry!Q23,", OffsetUnitsID=",DataEntry!AI23,", Comments=",DataEntry!S23,", Comments=",DataEntry!S23)))</f>
        <v/>
      </c>
    </row>
    <row r="38" spans="1:1" x14ac:dyDescent="0.2">
      <c r="A38" t="str">
        <f>IF(ROW(A38)=(33+DataEntry!$C$12),"\data",IF(DataEntry!A24="","",CONCATENATE("COL",DataEntry!A24+3,".  DataSeriesID=",,INDEX(DataSeries!$A$2:$R$500,MATCH(DataEntry!AL24,DataSeries!$AC$2:$AC$500,0),1),", SiteCode=",DataEntry!B24,", InstallationID=",DataEntry!W24,", SensorID=",DataEntry!X24,", SensorManufacturer=",DataEntry!E24,", SensorModel=",DataEntry!F24,", SensorSerialNumber=",DataEntry!G24," ,VariableID=",DataEntry!Y24," ,VariableName=",DataEntry!I24,", VariableUnitID=",DataEntry!Z24,", VariableUnits=",DataEntry!J24,", MediumType=",DataEntry!AE24,", DataType=",DataEntry!K25,",  TimeSupportValue=",DataEntry!L24,", TimeSupportUnitID=",DataEntry!AD24,", Lateral Offset Distance=",DataEntry!O24,", Lateral Offset Direction=",DataEntry!P24,", Z-Offset=",DataEntry!Q24,", OffsetUnitsID=",DataEntry!AI24,", Comments=",DataEntry!S24,", Comments=",DataEntry!S24)))</f>
        <v/>
      </c>
    </row>
    <row r="39" spans="1:1" x14ac:dyDescent="0.2">
      <c r="A39" t="str">
        <f>IF(ROW(A39)=(33+DataEntry!$C$12),"\data",IF(DataEntry!A25="","",CONCATENATE("COL",DataEntry!A25+3,".  DataSeriesID=",,INDEX(DataSeries!$A$2:$R$500,MATCH(DataEntry!AL25,DataSeries!$AC$2:$AC$500,0),1),", SiteCode=",DataEntry!B25,", InstallationID=",DataEntry!W25,", SensorID=",DataEntry!X25,", SensorManufacturer=",DataEntry!E25,", SensorModel=",DataEntry!F25,", SensorSerialNumber=",DataEntry!G25," ,VariableID=",DataEntry!Y25," ,VariableName=",DataEntry!I25,", VariableUnitID=",DataEntry!Z25,", VariableUnits=",DataEntry!J25,", MediumType=",DataEntry!AE25,", DataType=",DataEntry!K26,",  TimeSupportValue=",DataEntry!L25,", TimeSupportUnitID=",DataEntry!AD25,", Lateral Offset Distance=",DataEntry!O25,", Lateral Offset Direction=",DataEntry!P25,", Z-Offset=",DataEntry!Q25,", OffsetUnitsID=",DataEntry!AI25,", Comments=",DataEntry!S25,", Comments=",DataEntry!S25)))</f>
        <v/>
      </c>
    </row>
    <row r="40" spans="1:1" x14ac:dyDescent="0.2">
      <c r="A40" t="str">
        <f>IF(ROW(A40)=(33+DataEntry!$C$12),"\data",IF(DataEntry!A26="","",CONCATENATE("COL",DataEntry!A26+3,".  DataSeriesID=",,INDEX(DataSeries!$A$2:$R$500,MATCH(DataEntry!AL26,DataSeries!$AC$2:$AC$500,0),1),", SiteCode=",DataEntry!B26,", InstallationID=",DataEntry!W26,", SensorID=",DataEntry!X26,", SensorManufacturer=",DataEntry!E26,", SensorModel=",DataEntry!F26,", SensorSerialNumber=",DataEntry!G26," ,VariableID=",DataEntry!Y26," ,VariableName=",DataEntry!I26,", VariableUnitID=",DataEntry!Z26,", VariableUnits=",DataEntry!J26,", MediumType=",DataEntry!AE26,", DataType=",DataEntry!K27,",  TimeSupportValue=",DataEntry!L26,", TimeSupportUnitID=",DataEntry!AD26,", Lateral Offset Distance=",DataEntry!O26,", Lateral Offset Direction=",DataEntry!P26,", Z-Offset=",DataEntry!Q26,", OffsetUnitsID=",DataEntry!AI26,", Comments=",DataEntry!S26,", Comments=",DataEntry!S26)))</f>
        <v/>
      </c>
    </row>
    <row r="41" spans="1:1" x14ac:dyDescent="0.2">
      <c r="A41" t="str">
        <f>IF(ROW(A41)=(33+DataEntry!$C$12),"\data",IF(DataEntry!A27="","",CONCATENATE("COL",DataEntry!A27+3,".  DataSeriesID=",,INDEX(DataSeries!$A$2:$R$500,MATCH(DataEntry!AL27,DataSeries!$AC$2:$AC$500,0),1),", SiteCode=",DataEntry!B27,", InstallationID=",DataEntry!W27,", SensorID=",DataEntry!X27,", SensorManufacturer=",DataEntry!E27,", SensorModel=",DataEntry!F27,", SensorSerialNumber=",DataEntry!G27," ,VariableID=",DataEntry!Y27," ,VariableName=",DataEntry!I27,", VariableUnitID=",DataEntry!Z27,", VariableUnits=",DataEntry!J27,", MediumType=",DataEntry!AE27,", DataType=",DataEntry!K28,",  TimeSupportValue=",DataEntry!L27,", TimeSupportUnitID=",DataEntry!AD27,", Lateral Offset Distance=",DataEntry!O27,", Lateral Offset Direction=",DataEntry!P27,", Z-Offset=",DataEntry!Q27,", OffsetUnitsID=",DataEntry!AI27,", Comments=",DataEntry!S27,", Comments=",DataEntry!S27)))</f>
        <v/>
      </c>
    </row>
    <row r="42" spans="1:1" x14ac:dyDescent="0.2">
      <c r="A42" t="str">
        <f>IF(ROW(A42)=(33+DataEntry!$C$12),"\data",IF(DataEntry!A28="","",CONCATENATE("COL",DataEntry!A28+3,".  DataSeriesID=",,INDEX(DataSeries!$A$2:$R$500,MATCH(DataEntry!AL28,DataSeries!$AC$2:$AC$500,0),1),", SiteCode=",DataEntry!B28,", InstallationID=",DataEntry!W28,", SensorID=",DataEntry!X28,", SensorManufacturer=",DataEntry!E28,", SensorModel=",DataEntry!F28,", SensorSerialNumber=",DataEntry!G28," ,VariableID=",DataEntry!Y28," ,VariableName=",DataEntry!I28,", VariableUnitID=",DataEntry!Z28,", VariableUnits=",DataEntry!J28,", MediumType=",DataEntry!AE28,", DataType=",DataEntry!K29,",  TimeSupportValue=",DataEntry!L28,", TimeSupportUnitID=",DataEntry!AD28,", Lateral Offset Distance=",DataEntry!O28,", Lateral Offset Direction=",DataEntry!P28,", Z-Offset=",DataEntry!Q28,", OffsetUnitsID=",DataEntry!AI28,", Comments=",DataEntry!S28,", Comments=",DataEntry!S28)))</f>
        <v/>
      </c>
    </row>
    <row r="43" spans="1:1" x14ac:dyDescent="0.2">
      <c r="A43" t="str">
        <f>IF(ROW(A43)=(33+DataEntry!$C$12),"\data",IF(DataEntry!A29="","",CONCATENATE("COL",DataEntry!A29+3,".  DataSeriesID=",,INDEX(DataSeries!$A$2:$R$500,MATCH(DataEntry!AL29,DataSeries!$AC$2:$AC$500,0),1),", SiteCode=",DataEntry!B29,", InstallationID=",DataEntry!W29,", SensorID=",DataEntry!X29,", SensorManufacturer=",DataEntry!E29,", SensorModel=",DataEntry!F29,", SensorSerialNumber=",DataEntry!G29," ,VariableID=",DataEntry!Y29," ,VariableName=",DataEntry!I29,", VariableUnitID=",DataEntry!Z29,", VariableUnits=",DataEntry!J29,", MediumType=",DataEntry!AE29,", DataType=",DataEntry!K30,",  TimeSupportValue=",DataEntry!L29,", TimeSupportUnitID=",DataEntry!AD29,", Lateral Offset Distance=",DataEntry!O29,", Lateral Offset Direction=",DataEntry!P29,", Z-Offset=",DataEntry!Q29,", OffsetUnitsID=",DataEntry!AI29,", Comments=",DataEntry!S29,", Comments=",DataEntry!S29)))</f>
        <v/>
      </c>
    </row>
    <row r="44" spans="1:1" x14ac:dyDescent="0.2">
      <c r="A44" t="str">
        <f>IF(ROW(A44)=(33+DataEntry!$C$12),"\data",IF(DataEntry!A30="","",CONCATENATE("COL",DataEntry!A30+3,".  DataSeriesID=",,INDEX(DataSeries!$A$2:$R$500,MATCH(DataEntry!AL30,DataSeries!$AC$2:$AC$500,0),1),", SiteCode=",DataEntry!B30,", InstallationID=",DataEntry!W30,", SensorID=",DataEntry!X30,", SensorManufacturer=",DataEntry!E30,", SensorModel=",DataEntry!F30,", SensorSerialNumber=",DataEntry!G30," ,VariableID=",DataEntry!Y30," ,VariableName=",DataEntry!I30,", VariableUnitID=",DataEntry!Z30,", VariableUnits=",DataEntry!J30,", MediumType=",DataEntry!AE30,", DataType=",DataEntry!K31,",  TimeSupportValue=",DataEntry!L30,", TimeSupportUnitID=",DataEntry!AD30,", Lateral Offset Distance=",DataEntry!O30,", Lateral Offset Direction=",DataEntry!P30,", Z-Offset=",DataEntry!Q30,", OffsetUnitsID=",DataEntry!AI30,", Comments=",DataEntry!S30,", Comments=",DataEntry!S30)))</f>
        <v/>
      </c>
    </row>
    <row r="45" spans="1:1" x14ac:dyDescent="0.2">
      <c r="A45" t="str">
        <f>IF(ROW(A45)=(33+DataEntry!$C$12),"\data",IF(DataEntry!A31="","",CONCATENATE("COL",DataEntry!A31+3,".  DataSeriesID=",,INDEX(DataSeries!$A$2:$R$500,MATCH(DataEntry!AL31,DataSeries!$AC$2:$AC$500,0),1),", SiteCode=",DataEntry!B31,", InstallationID=",DataEntry!W31,", SensorID=",DataEntry!X31,", SensorManufacturer=",DataEntry!E31,", SensorModel=",DataEntry!F31,", SensorSerialNumber=",DataEntry!G31," ,VariableID=",DataEntry!Y31," ,VariableName=",DataEntry!I31,", VariableUnitID=",DataEntry!Z31,", VariableUnits=",DataEntry!J31,", MediumType=",DataEntry!AE31,", DataType=",DataEntry!K32,",  TimeSupportValue=",DataEntry!L31,", TimeSupportUnitID=",DataEntry!AD31,", Lateral Offset Distance=",DataEntry!O31,", Lateral Offset Direction=",DataEntry!P31,", Z-Offset=",DataEntry!Q31,", OffsetUnitsID=",DataEntry!AI31,", Comments=",DataEntry!S31,", Comments=",DataEntry!S31)))</f>
        <v/>
      </c>
    </row>
    <row r="46" spans="1:1" x14ac:dyDescent="0.2">
      <c r="A46" t="str">
        <f>IF(ROW(A46)=(33+DataEntry!$C$12),"\data",IF(DataEntry!A32="","",CONCATENATE("COL",DataEntry!A32+3,".  DataSeriesID=",,INDEX(DataSeries!$A$2:$R$500,MATCH(DataEntry!AL32,DataSeries!$AC$2:$AC$500,0),1),", SiteCode=",DataEntry!B32,", InstallationID=",DataEntry!W32,", SensorID=",DataEntry!X32,", SensorManufacturer=",DataEntry!E32,", SensorModel=",DataEntry!F32,", SensorSerialNumber=",DataEntry!G32," ,VariableID=",DataEntry!Y32," ,VariableName=",DataEntry!I32,", VariableUnitID=",DataEntry!Z32,", VariableUnits=",DataEntry!J32,", MediumType=",DataEntry!AE32,", DataType=",DataEntry!K33,",  TimeSupportValue=",DataEntry!L32,", TimeSupportUnitID=",DataEntry!AD32,", Lateral Offset Distance=",DataEntry!O32,", Lateral Offset Direction=",DataEntry!P32,", Z-Offset=",DataEntry!Q32,", OffsetUnitsID=",DataEntry!AI32,", Comments=",DataEntry!S32,", Comments=",DataEntry!S32)))</f>
        <v/>
      </c>
    </row>
    <row r="47" spans="1:1" x14ac:dyDescent="0.2">
      <c r="A47" t="str">
        <f>IF(ROW(A47)=(33+DataEntry!$C$12),"\data",IF(DataEntry!A33="","",CONCATENATE("COL",DataEntry!A33+3,".  DataSeriesID=",,INDEX(DataSeries!$A$2:$R$500,MATCH(DataEntry!AL33,DataSeries!$AC$2:$AC$500,0),1),", SiteCode=",DataEntry!B33,", InstallationID=",DataEntry!W33,", SensorID=",DataEntry!X33,", SensorManufacturer=",DataEntry!E33,", SensorModel=",DataEntry!F33,", SensorSerialNumber=",DataEntry!G33," ,VariableID=",DataEntry!Y33," ,VariableName=",DataEntry!I33,", VariableUnitID=",DataEntry!Z33,", VariableUnits=",DataEntry!J33,", MediumType=",DataEntry!AE33,", DataType=",DataEntry!K34,",  TimeSupportValue=",DataEntry!L33,", TimeSupportUnitID=",DataEntry!AD33,", Lateral Offset Distance=",DataEntry!O33,", Lateral Offset Direction=",DataEntry!P33,", Z-Offset=",DataEntry!Q33,", OffsetUnitsID=",DataEntry!AI33,", Comments=",DataEntry!S33,", Comments=",DataEntry!S33)))</f>
        <v/>
      </c>
    </row>
    <row r="48" spans="1:1" x14ac:dyDescent="0.2">
      <c r="A48" t="str">
        <f>IF(ROW(A48)=(33+DataEntry!$C$12),"\data",IF(DataEntry!A34="","",CONCATENATE("COL",DataEntry!A34+3,".  DataSeriesID=",,INDEX(DataSeries!$A$2:$R$500,MATCH(DataEntry!AL34,DataSeries!$AC$2:$AC$500,0),1),", SiteCode=",DataEntry!B34,", InstallationID=",DataEntry!W34,", SensorID=",DataEntry!X34,", SensorManufacturer=",DataEntry!E34,", SensorModel=",DataEntry!F34,", SensorSerialNumber=",DataEntry!G34," ,VariableID=",DataEntry!Y34," ,VariableName=",DataEntry!I34,", VariableUnitID=",DataEntry!Z34,", VariableUnits=",DataEntry!J34,", MediumType=",DataEntry!AE34,", DataType=",DataEntry!K35,",  TimeSupportValue=",DataEntry!L34,", TimeSupportUnitID=",DataEntry!AD34,", Lateral Offset Distance=",DataEntry!O34,", Lateral Offset Direction=",DataEntry!P34,", Z-Offset=",DataEntry!Q34,", OffsetUnitsID=",DataEntry!AI34,", Comments=",DataEntry!S34,", Comments=",DataEntry!S34)))</f>
        <v/>
      </c>
    </row>
    <row r="49" spans="1:1" x14ac:dyDescent="0.2">
      <c r="A49" t="str">
        <f>IF(ROW(A49)=(33+DataEntry!$C$12),"\data",IF(DataEntry!A35="","",CONCATENATE("COL",DataEntry!A35+3,".  DataSeriesID=",,INDEX(DataSeries!$A$2:$R$500,MATCH(DataEntry!AL35,DataSeries!$AC$2:$AC$500,0),1),", SiteCode=",DataEntry!B35,", InstallationID=",DataEntry!W35,", SensorID=",DataEntry!X35,", SensorManufacturer=",DataEntry!E35,", SensorModel=",DataEntry!F35,", SensorSerialNumber=",DataEntry!G35," ,VariableID=",DataEntry!Y35," ,VariableName=",DataEntry!I35,", VariableUnitID=",DataEntry!Z35,", VariableUnits=",DataEntry!J35,", MediumType=",DataEntry!AE35,", DataType=",DataEntry!K36,",  TimeSupportValue=",DataEntry!L35,", TimeSupportUnitID=",DataEntry!AD35,", Lateral Offset Distance=",DataEntry!O35,", Lateral Offset Direction=",DataEntry!P35,", Z-Offset=",DataEntry!Q35,", OffsetUnitsID=",DataEntry!AI35,", Comments=",DataEntry!S35,", Comments=",DataEntry!S35)))</f>
        <v/>
      </c>
    </row>
    <row r="50" spans="1:1" x14ac:dyDescent="0.2">
      <c r="A50" t="str">
        <f>IF(ROW(A50)=(33+DataEntry!$C$12),"\data",IF(DataEntry!A36="","",CONCATENATE("COL",DataEntry!A36+3,".  DataSeriesID=",,INDEX(DataSeries!$A$2:$R$500,MATCH(DataEntry!AL36,DataSeries!$AC$2:$AC$500,0),1),", SiteCode=",DataEntry!B36,", InstallationID=",DataEntry!W36,", SensorID=",DataEntry!X36,", SensorManufacturer=",DataEntry!E36,", SensorModel=",DataEntry!F36,", SensorSerialNumber=",DataEntry!G36," ,VariableID=",DataEntry!Y36," ,VariableName=",DataEntry!I36,", VariableUnitID=",DataEntry!Z36,", VariableUnits=",DataEntry!J36,", MediumType=",DataEntry!AE36,", DataType=",DataEntry!K37,",  TimeSupportValue=",DataEntry!L36,", TimeSupportUnitID=",DataEntry!AD36,", Lateral Offset Distance=",DataEntry!O36,", Lateral Offset Direction=",DataEntry!P36,", Z-Offset=",DataEntry!Q36,", OffsetUnitsID=",DataEntry!AI36,", Comments=",DataEntry!S36,", Comments=",DataEntry!S36)))</f>
        <v/>
      </c>
    </row>
    <row r="51" spans="1:1" x14ac:dyDescent="0.2">
      <c r="A51" t="str">
        <f>IF(ROW(A51)=(33+DataEntry!$C$12),"\data",IF(DataEntry!A37="","",CONCATENATE("COL",DataEntry!A37+3,".  DataSeriesID=",,INDEX(DataSeries!$A$2:$R$500,MATCH(DataEntry!AL37,DataSeries!$AC$2:$AC$500,0),1),", SiteCode=",DataEntry!B37,", InstallationID=",DataEntry!W37,", SensorID=",DataEntry!X37,", SensorManufacturer=",DataEntry!E37,", SensorModel=",DataEntry!F37,", SensorSerialNumber=",DataEntry!G37," ,VariableID=",DataEntry!Y37," ,VariableName=",DataEntry!I37,", VariableUnitID=",DataEntry!Z37,", VariableUnits=",DataEntry!J37,", MediumType=",DataEntry!AE37,", DataType=",DataEntry!K38,",  TimeSupportValue=",DataEntry!L37,", TimeSupportUnitID=",DataEntry!AD37,", Lateral Offset Distance=",DataEntry!O37,", Lateral Offset Direction=",DataEntry!P37,", Z-Offset=",DataEntry!Q37,", OffsetUnitsID=",DataEntry!AI37,", Comments=",DataEntry!S37,", Comments=",DataEntry!S37)))</f>
        <v/>
      </c>
    </row>
    <row r="52" spans="1:1" x14ac:dyDescent="0.2">
      <c r="A52" t="str">
        <f>IF(ROW(A52)=(33+DataEntry!$C$12),"\data",IF(DataEntry!A38="","",CONCATENATE("COL",DataEntry!A38+3,".  DataSeriesID=",,INDEX(DataSeries!$A$2:$R$500,MATCH(DataEntry!AL38,DataSeries!$AC$2:$AC$500,0),1),", SiteCode=",DataEntry!B38,", InstallationID=",DataEntry!W38,", SensorID=",DataEntry!X38,", SensorManufacturer=",DataEntry!E38,", SensorModel=",DataEntry!F38,", SensorSerialNumber=",DataEntry!G38," ,VariableID=",DataEntry!Y38," ,VariableName=",DataEntry!I38,", VariableUnitID=",DataEntry!Z38,", VariableUnits=",DataEntry!J38,", MediumType=",DataEntry!AE38,", DataType=",DataEntry!K39,",  TimeSupportValue=",DataEntry!L38,", TimeSupportUnitID=",DataEntry!AD38,", Lateral Offset Distance=",DataEntry!O38,", Lateral Offset Direction=",DataEntry!P38,", Z-Offset=",DataEntry!Q38,", OffsetUnitsID=",DataEntry!AI38,", Comments=",DataEntry!S38,", Comments=",DataEntry!S38)))</f>
        <v/>
      </c>
    </row>
    <row r="53" spans="1:1" x14ac:dyDescent="0.2">
      <c r="A53" t="str">
        <f>IF(ROW(A53)=(33+DataEntry!$C$12),"\data",IF(DataEntry!A39="","",CONCATENATE("COL",DataEntry!A39+3,".  DataSeriesID=",,INDEX(DataSeries!$A$2:$R$500,MATCH(DataEntry!AL39,DataSeries!$AC$2:$AC$500,0),1),", SiteCode=",DataEntry!B39,", InstallationID=",DataEntry!W39,", SensorID=",DataEntry!X39,", SensorManufacturer=",DataEntry!E39,", SensorModel=",DataEntry!F39,", SensorSerialNumber=",DataEntry!G39," ,VariableID=",DataEntry!Y39," ,VariableName=",DataEntry!I39,", VariableUnitID=",DataEntry!Z39,", VariableUnits=",DataEntry!J39,", MediumType=",DataEntry!AE39,", DataType=",DataEntry!K40,",  TimeSupportValue=",DataEntry!L39,", TimeSupportUnitID=",DataEntry!AD39,", Lateral Offset Distance=",DataEntry!O39,", Lateral Offset Direction=",DataEntry!P39,", Z-Offset=",DataEntry!Q39,", OffsetUnitsID=",DataEntry!AI39,", Comments=",DataEntry!S39,", Comments=",DataEntry!S39)))</f>
        <v/>
      </c>
    </row>
    <row r="54" spans="1:1" x14ac:dyDescent="0.2">
      <c r="A54" t="str">
        <f>IF(ROW(A54)=(33+DataEntry!$C$12),"\data",IF(DataEntry!A40="","",CONCATENATE("COL",DataEntry!A40+3,".  DataSeriesID=",,INDEX(DataSeries!$A$2:$R$500,MATCH(DataEntry!AL40,DataSeries!$AC$2:$AC$500,0),1),", SiteCode=",DataEntry!B40,", InstallationID=",DataEntry!W40,", SensorID=",DataEntry!X40,", SensorManufacturer=",DataEntry!E40,", SensorModel=",DataEntry!F40,", SensorSerialNumber=",DataEntry!G40," ,VariableID=",DataEntry!Y40," ,VariableName=",DataEntry!I40,", VariableUnitID=",DataEntry!Z40,", VariableUnits=",DataEntry!J40,", MediumType=",DataEntry!AE40,", DataType=",DataEntry!K41,",  TimeSupportValue=",DataEntry!L40,", TimeSupportUnitID=",DataEntry!AD40,", Lateral Offset Distance=",DataEntry!O40,", Lateral Offset Direction=",DataEntry!P40,", Z-Offset=",DataEntry!Q40,", OffsetUnitsID=",DataEntry!AI40,", Comments=",DataEntry!S40,", Comments=",DataEntry!S40)))</f>
        <v/>
      </c>
    </row>
    <row r="55" spans="1:1" x14ac:dyDescent="0.2">
      <c r="A55" t="str">
        <f>IF(ROW(A55)=(33+DataEntry!$C$12),"\data",IF(DataEntry!A41="","",CONCATENATE("COL",DataEntry!A41+3,".  DataSeriesID=",,INDEX(DataSeries!$A$2:$R$500,MATCH(DataEntry!AL41,DataSeries!$AC$2:$AC$500,0),1),", SiteCode=",DataEntry!B41,", InstallationID=",DataEntry!W41,", SensorID=",DataEntry!X41,", SensorManufacturer=",DataEntry!E41,", SensorModel=",DataEntry!F41,", SensorSerialNumber=",DataEntry!G41," ,VariableID=",DataEntry!Y41," ,VariableName=",DataEntry!I41,", VariableUnitID=",DataEntry!Z41,", VariableUnits=",DataEntry!J41,", MediumType=",DataEntry!AE41,", DataType=",DataEntry!K42,",  TimeSupportValue=",DataEntry!L41,", TimeSupportUnitID=",DataEntry!AD41,", Lateral Offset Distance=",DataEntry!O41,", Lateral Offset Direction=",DataEntry!P41,", Z-Offset=",DataEntry!Q41,", OffsetUnitsID=",DataEntry!AI41,", Comments=",DataEntry!S41,", Comments=",DataEntry!S41)))</f>
        <v/>
      </c>
    </row>
    <row r="56" spans="1:1" x14ac:dyDescent="0.2">
      <c r="A56" t="str">
        <f>IF(ROW(A56)=(33+DataEntry!$C$12),"\data",IF(DataEntry!A42="","",CONCATENATE("COL",DataEntry!A42+3,".  DataSeriesID=",,INDEX(DataSeries!$A$2:$R$500,MATCH(DataEntry!AL42,DataSeries!$AC$2:$AC$500,0),1),", SiteCode=",DataEntry!B42,", InstallationID=",DataEntry!W42,", SensorID=",DataEntry!X42,", SensorManufacturer=",DataEntry!E42,", SensorModel=",DataEntry!F42,", SensorSerialNumber=",DataEntry!G42," ,VariableID=",DataEntry!Y42," ,VariableName=",DataEntry!I42,", VariableUnitID=",DataEntry!Z42,", VariableUnits=",DataEntry!J42,", MediumType=",DataEntry!AE42,", DataType=",DataEntry!K43,",  TimeSupportValue=",DataEntry!L42,", TimeSupportUnitID=",DataEntry!AD42,", Lateral Offset Distance=",DataEntry!O42,", Lateral Offset Direction=",DataEntry!P42,", Z-Offset=",DataEntry!Q42,", OffsetUnitsID=",DataEntry!AI42,", Comments=",DataEntry!S42,", Comments=",DataEntry!S42)))</f>
        <v/>
      </c>
    </row>
    <row r="57" spans="1:1" x14ac:dyDescent="0.2">
      <c r="A57" t="str">
        <f>IF(ROW(A57)=(33+DataEntry!$C$12),"\data",IF(DataEntry!A43="","",CONCATENATE("COL",DataEntry!A43+3,".  DataSeriesID=",,INDEX(DataSeries!$A$2:$R$500,MATCH(DataEntry!AL43,DataSeries!$AC$2:$AC$500,0),1),", SiteCode=",DataEntry!B43,", InstallationID=",DataEntry!W43,", SensorID=",DataEntry!X43,", SensorManufacturer=",DataEntry!E43,", SensorModel=",DataEntry!F43,", SensorSerialNumber=",DataEntry!G43," ,VariableID=",DataEntry!Y43," ,VariableName=",DataEntry!I43,", VariableUnitID=",DataEntry!Z43,", VariableUnits=",DataEntry!J43,", MediumType=",DataEntry!AE43,", DataType=",DataEntry!K44,",  TimeSupportValue=",DataEntry!L43,", TimeSupportUnitID=",DataEntry!AD43,", Lateral Offset Distance=",DataEntry!O43,", Lateral Offset Direction=",DataEntry!P43,", Z-Offset=",DataEntry!Q43,", OffsetUnitsID=",DataEntry!AI43,", Comments=",DataEntry!S43,", Comments=",DataEntry!S43)))</f>
        <v/>
      </c>
    </row>
    <row r="58" spans="1:1" x14ac:dyDescent="0.2">
      <c r="A58" t="str">
        <f>IF(ROW(A58)=(33+DataEntry!$C$12),"\data",IF(DataEntry!A44="","",CONCATENATE("COL",DataEntry!A44+3,".  DataSeriesID=",,INDEX(DataSeries!$A$2:$R$500,MATCH(DataEntry!AL44,DataSeries!$AC$2:$AC$500,0),1),", SiteCode=",DataEntry!B44,", InstallationID=",DataEntry!W44,", SensorID=",DataEntry!X44,", SensorManufacturer=",DataEntry!E44,", SensorModel=",DataEntry!F44,", SensorSerialNumber=",DataEntry!G44," ,VariableID=",DataEntry!Y44," ,VariableName=",DataEntry!I44,", VariableUnitID=",DataEntry!Z44,", VariableUnits=",DataEntry!J44,", MediumType=",DataEntry!AE44,", DataType=",DataEntry!K45,",  TimeSupportValue=",DataEntry!L44,", TimeSupportUnitID=",DataEntry!AD44,", Lateral Offset Distance=",DataEntry!O44,", Lateral Offset Direction=",DataEntry!P44,", Z-Offset=",DataEntry!Q44,", OffsetUnitsID=",DataEntry!AI44,", Comments=",DataEntry!S44,", Comments=",DataEntry!S44)))</f>
        <v/>
      </c>
    </row>
    <row r="59" spans="1:1" x14ac:dyDescent="0.2">
      <c r="A59" t="str">
        <f>IF(ROW(A59)=(33+DataEntry!$C$12),"\data",IF(DataEntry!A45="","",CONCATENATE("COL",DataEntry!A45+3,".  DataSeriesID=",,INDEX(DataSeries!$A$2:$R$500,MATCH(DataEntry!AL45,DataSeries!$AC$2:$AC$500,0),1),", SiteCode=",DataEntry!B45,", InstallationID=",DataEntry!W45,", SensorID=",DataEntry!X45,", SensorManufacturer=",DataEntry!E45,", SensorModel=",DataEntry!F45,", SensorSerialNumber=",DataEntry!G45," ,VariableID=",DataEntry!Y45," ,VariableName=",DataEntry!I45,", VariableUnitID=",DataEntry!Z45,", VariableUnits=",DataEntry!J45,", MediumType=",DataEntry!AE45,", DataType=",DataEntry!K46,",  TimeSupportValue=",DataEntry!L45,", TimeSupportUnitID=",DataEntry!AD45,", Lateral Offset Distance=",DataEntry!O45,", Lateral Offset Direction=",DataEntry!P45,", Z-Offset=",DataEntry!Q45,", OffsetUnitsID=",DataEntry!AI45,", Comments=",DataEntry!S45,", Comments=",DataEntry!S45)))</f>
        <v/>
      </c>
    </row>
    <row r="60" spans="1:1" x14ac:dyDescent="0.2">
      <c r="A60" t="str">
        <f>IF(ROW(A60)=(33+DataEntry!$C$12),"\data",IF(DataEntry!A46="","",CONCATENATE("COL",DataEntry!A46+3,".  DataSeriesID=",,INDEX(DataSeries!$A$2:$R$500,MATCH(DataEntry!AL46,DataSeries!$AC$2:$AC$500,0),1),", SiteCode=",DataEntry!B46,", InstallationID=",DataEntry!W46,", SensorID=",DataEntry!X46,", SensorManufacturer=",DataEntry!E46,", SensorModel=",DataEntry!F46,", SensorSerialNumber=",DataEntry!G46," ,VariableID=",DataEntry!Y46," ,VariableName=",DataEntry!I46,", VariableUnitID=",DataEntry!Z46,", VariableUnits=",DataEntry!J46,", MediumType=",DataEntry!AE46,", DataType=",DataEntry!K47,",  TimeSupportValue=",DataEntry!L46,", TimeSupportUnitID=",DataEntry!AD46,", Lateral Offset Distance=",DataEntry!O46,", Lateral Offset Direction=",DataEntry!P46,", Z-Offset=",DataEntry!Q46,", OffsetUnitsID=",DataEntry!AI46,", Comments=",DataEntry!S46,", Comments=",DataEntry!S46)))</f>
        <v/>
      </c>
    </row>
    <row r="61" spans="1:1" x14ac:dyDescent="0.2">
      <c r="A61" t="str">
        <f>IF(ROW(A61)=(33+DataEntry!$C$12),"\data",IF(DataEntry!A47="","",CONCATENATE("COL",DataEntry!A47+3,".  DataSeriesID=",,INDEX(DataSeries!$A$2:$R$500,MATCH(DataEntry!AL47,DataSeries!$AC$2:$AC$500,0),1),", SiteCode=",DataEntry!B47,", InstallationID=",DataEntry!W47,", SensorID=",DataEntry!X47,", SensorManufacturer=",DataEntry!E47,", SensorModel=",DataEntry!F47,", SensorSerialNumber=",DataEntry!G47," ,VariableID=",DataEntry!Y47," ,VariableName=",DataEntry!I47,", VariableUnitID=",DataEntry!Z47,", VariableUnits=",DataEntry!J47,", MediumType=",DataEntry!AE47,", DataType=",DataEntry!K48,",  TimeSupportValue=",DataEntry!L47,", TimeSupportUnitID=",DataEntry!AD47,", Lateral Offset Distance=",DataEntry!O47,", Lateral Offset Direction=",DataEntry!P47,", Z-Offset=",DataEntry!Q47,", OffsetUnitsID=",DataEntry!AI47,", Comments=",DataEntry!S47,", Comments=",DataEntry!S47)))</f>
        <v/>
      </c>
    </row>
    <row r="62" spans="1:1" x14ac:dyDescent="0.2">
      <c r="A62" t="str">
        <f>IF(ROW(A62)=(33+DataEntry!$C$12),"\data",IF(DataEntry!A48="","",CONCATENATE("COL",DataEntry!A48+3,".  DataSeriesID=",,INDEX(DataSeries!$A$2:$R$500,MATCH(DataEntry!AL48,DataSeries!$AC$2:$AC$500,0),1),", SiteCode=",DataEntry!B48,", InstallationID=",DataEntry!W48,", SensorID=",DataEntry!X48,", SensorManufacturer=",DataEntry!E48,", SensorModel=",DataEntry!F48,", SensorSerialNumber=",DataEntry!G48," ,VariableID=",DataEntry!Y48," ,VariableName=",DataEntry!I48,", VariableUnitID=",DataEntry!Z48,", VariableUnits=",DataEntry!J48,", MediumType=",DataEntry!AE48,", DataType=",DataEntry!K49,",  TimeSupportValue=",DataEntry!L48,", TimeSupportUnitID=",DataEntry!AD48,", Lateral Offset Distance=",DataEntry!O48,", Lateral Offset Direction=",DataEntry!P48,", Z-Offset=",DataEntry!Q48,", OffsetUnitsID=",DataEntry!AI48,", Comments=",DataEntry!S48,", Comments=",DataEntry!S48)))</f>
        <v/>
      </c>
    </row>
    <row r="63" spans="1:1" x14ac:dyDescent="0.2">
      <c r="A63" t="str">
        <f>IF(ROW(A63)=(33+DataEntry!$C$12),"\data",IF(DataEntry!A49="","",CONCATENATE("COL",DataEntry!A49+3,".  DataSeriesID=",,INDEX(DataSeries!$A$2:$R$500,MATCH(DataEntry!AL49,DataSeries!$AC$2:$AC$500,0),1),", SiteCode=",DataEntry!B49,", InstallationID=",DataEntry!W49,", SensorID=",DataEntry!X49,", SensorManufacturer=",DataEntry!E49,", SensorModel=",DataEntry!F49,", SensorSerialNumber=",DataEntry!G49," ,VariableID=",DataEntry!Y49," ,VariableName=",DataEntry!I49,", VariableUnitID=",DataEntry!Z49,", VariableUnits=",DataEntry!J49,", MediumType=",DataEntry!AE49,", DataType=",DataEntry!K50,",  TimeSupportValue=",DataEntry!L49,", TimeSupportUnitID=",DataEntry!AD49,", Lateral Offset Distance=",DataEntry!O49,", Lateral Offset Direction=",DataEntry!P49,", Z-Offset=",DataEntry!Q49,", OffsetUnitsID=",DataEntry!AI49,", Comments=",DataEntry!S49,", Comments=",DataEntry!S49)))</f>
        <v/>
      </c>
    </row>
    <row r="64" spans="1:1" x14ac:dyDescent="0.2">
      <c r="A64" t="str">
        <f>IF(ROW(A64)=(33+DataEntry!$C$12),"\data",IF(DataEntry!A50="","",CONCATENATE("COL",DataEntry!A50+3,".  DataSeriesID=",,INDEX(DataSeries!$A$2:$R$500,MATCH(DataEntry!AL50,DataSeries!$AC$2:$AC$500,0),1),", SiteCode=",DataEntry!B50,", InstallationID=",DataEntry!W50,", SensorID=",DataEntry!X50,", SensorManufacturer=",DataEntry!E50,", SensorModel=",DataEntry!F50,", SensorSerialNumber=",DataEntry!G50," ,VariableID=",DataEntry!Y50," ,VariableName=",DataEntry!I50,", VariableUnitID=",DataEntry!Z50,", VariableUnits=",DataEntry!J50,", MediumType=",DataEntry!AE50,", DataType=",DataEntry!K51,",  TimeSupportValue=",DataEntry!L50,", TimeSupportUnitID=",DataEntry!AD50,", Lateral Offset Distance=",DataEntry!O50,", Lateral Offset Direction=",DataEntry!P50,", Z-Offset=",DataEntry!Q50,", OffsetUnitsID=",DataEntry!AI50,", Comments=",DataEntry!S50,", Comments=",DataEntry!S50)))</f>
        <v/>
      </c>
    </row>
    <row r="65" spans="1:1" x14ac:dyDescent="0.2">
      <c r="A65" t="str">
        <f>IF(ROW(A65)=(33+DataEntry!$C$12),"\data",IF(DataEntry!A51="","",CONCATENATE("COL",DataEntry!A51+3,".  DataSeriesID=",,INDEX(DataSeries!$A$2:$R$500,MATCH(DataEntry!AL51,DataSeries!$AC$2:$AC$500,0),1),", SiteCode=",DataEntry!B51,", InstallationID=",DataEntry!W51,", SensorID=",DataEntry!X51,", SensorManufacturer=",DataEntry!E51,", SensorModel=",DataEntry!F51,", SensorSerialNumber=",DataEntry!G51," ,VariableID=",DataEntry!Y51," ,VariableName=",DataEntry!I51,", VariableUnitID=",DataEntry!Z51,", VariableUnits=",DataEntry!J51,", MediumType=",DataEntry!AE51,", DataType=",DataEntry!K52,",  TimeSupportValue=",DataEntry!L51,", TimeSupportUnitID=",DataEntry!AD51,", Lateral Offset Distance=",DataEntry!O51,", Lateral Offset Direction=",DataEntry!P51,", Z-Offset=",DataEntry!Q51,", OffsetUnitsID=",DataEntry!AI51,", Comments=",DataEntry!S51,", Comments=",DataEntry!S51)))</f>
        <v/>
      </c>
    </row>
    <row r="66" spans="1:1" x14ac:dyDescent="0.2">
      <c r="A66" t="str">
        <f>IF(ROW(A66)=(33+DataEntry!$C$12),"\data",IF(DataEntry!A52="","",CONCATENATE("COL",DataEntry!A52+3,".  DataSeriesID=",,INDEX(DataSeries!$A$2:$R$500,MATCH(DataEntry!AL52,DataSeries!$AC$2:$AC$500,0),1),", SiteCode=",DataEntry!B52,", InstallationID=",DataEntry!W52,", SensorID=",DataEntry!X52,", SensorManufacturer=",DataEntry!E52,", SensorModel=",DataEntry!F52,", SensorSerialNumber=",DataEntry!G52," ,VariableID=",DataEntry!Y52," ,VariableName=",DataEntry!I52,", VariableUnitID=",DataEntry!Z52,", VariableUnits=",DataEntry!J52,", MediumType=",DataEntry!AE52,", DataType=",DataEntry!K53,",  TimeSupportValue=",DataEntry!L52,", TimeSupportUnitID=",DataEntry!AD52,", Lateral Offset Distance=",DataEntry!O52,", Lateral Offset Direction=",DataEntry!P52,", Z-Offset=",DataEntry!Q52,", OffsetUnitsID=",DataEntry!AI52,", Comments=",DataEntry!S52,", Comments=",DataEntry!S52)))</f>
        <v/>
      </c>
    </row>
    <row r="67" spans="1:1" x14ac:dyDescent="0.2">
      <c r="A67" t="str">
        <f>IF(ROW(A67)=(33+DataEntry!$C$12),"\data",IF(DataEntry!A53="","",CONCATENATE("COL",DataEntry!A53+3,".  DataSeriesID=",,INDEX(DataSeries!$A$2:$R$500,MATCH(DataEntry!AL53,DataSeries!$AC$2:$AC$500,0),1),", SiteCode=",DataEntry!B53,", InstallationID=",DataEntry!W53,", SensorID=",DataEntry!X53,", SensorManufacturer=",DataEntry!E53,", SensorModel=",DataEntry!F53,", SensorSerialNumber=",DataEntry!G53," ,VariableID=",DataEntry!Y53," ,VariableName=",DataEntry!I53,", VariableUnitID=",DataEntry!Z53,", VariableUnits=",DataEntry!J53,", MediumType=",DataEntry!AE53,", DataType=",DataEntry!K54,",  TimeSupportValue=",DataEntry!L53,", TimeSupportUnitID=",DataEntry!AD53,", Lateral Offset Distance=",DataEntry!O53,", Lateral Offset Direction=",DataEntry!P53,", Z-Offset=",DataEntry!Q53,", OffsetUnitsID=",DataEntry!AI53,", Comments=",DataEntry!S53,", Comments=",DataEntry!S53)))</f>
        <v/>
      </c>
    </row>
    <row r="68" spans="1:1" x14ac:dyDescent="0.2">
      <c r="A68" t="str">
        <f>IF(ROW(A68)=(33+DataEntry!$C$12),"\data",IF(DataEntry!A54="","",CONCATENATE("COL",DataEntry!A54+3,".  DataSeriesID=",,INDEX(DataSeries!$A$2:$R$500,MATCH(DataEntry!AL54,DataSeries!$AC$2:$AC$500,0),1),", SiteCode=",DataEntry!B54,", InstallationID=",DataEntry!W54,", SensorID=",DataEntry!X54,", SensorManufacturer=",DataEntry!E54,", SensorModel=",DataEntry!F54,", SensorSerialNumber=",DataEntry!G54," ,VariableID=",DataEntry!Y54," ,VariableName=",DataEntry!I54,", VariableUnitID=",DataEntry!Z54,", VariableUnits=",DataEntry!J54,", MediumType=",DataEntry!AE54,", DataType=",DataEntry!K55,",  TimeSupportValue=",DataEntry!L54,", TimeSupportUnitID=",DataEntry!AD54,", Lateral Offset Distance=",DataEntry!O54,", Lateral Offset Direction=",DataEntry!P54,", Z-Offset=",DataEntry!Q54,", OffsetUnitsID=",DataEntry!AI54,", Comments=",DataEntry!S54,", Comments=",DataEntry!S54)))</f>
        <v/>
      </c>
    </row>
    <row r="69" spans="1:1" x14ac:dyDescent="0.2">
      <c r="A69" t="str">
        <f>IF(ROW(A69)=(33+DataEntry!$C$12),"\data",IF(DataEntry!A55="","",CONCATENATE("COL",DataEntry!A55+3,".  DataSeriesID=",,INDEX(DataSeries!$A$2:$R$500,MATCH(DataEntry!AL55,DataSeries!$AC$2:$AC$500,0),1),", SiteCode=",DataEntry!B55,", InstallationID=",DataEntry!W55,", SensorID=",DataEntry!X55,", SensorManufacturer=",DataEntry!E55,", SensorModel=",DataEntry!F55,", SensorSerialNumber=",DataEntry!G55," ,VariableID=",DataEntry!Y55," ,VariableName=",DataEntry!I55,", VariableUnitID=",DataEntry!Z55,", VariableUnits=",DataEntry!J55,", MediumType=",DataEntry!AE55,", DataType=",DataEntry!K56,",  TimeSupportValue=",DataEntry!L55,", TimeSupportUnitID=",DataEntry!AD55,", Lateral Offset Distance=",DataEntry!O55,", Lateral Offset Direction=",DataEntry!P55,", Z-Offset=",DataEntry!Q55,", OffsetUnitsID=",DataEntry!AI55,", Comments=",DataEntry!S55,", Comments=",DataEntry!S55)))</f>
        <v/>
      </c>
    </row>
    <row r="70" spans="1:1" x14ac:dyDescent="0.2">
      <c r="A70" t="str">
        <f>IF(ROW(A70)=(33+DataEntry!$C$12),"\data",IF(DataEntry!A56="","",CONCATENATE("COL",DataEntry!A56+3,".  DataSeriesID=",,INDEX(DataSeries!$A$2:$R$500,MATCH(DataEntry!AL56,DataSeries!$AC$2:$AC$500,0),1),", SiteCode=",DataEntry!B56,", InstallationID=",DataEntry!W56,", SensorID=",DataEntry!X56,", SensorManufacturer=",DataEntry!E56,", SensorModel=",DataEntry!F56,", SensorSerialNumber=",DataEntry!G56," ,VariableID=",DataEntry!Y56," ,VariableName=",DataEntry!I56,", VariableUnitID=",DataEntry!Z56,", VariableUnits=",DataEntry!J56,", MediumType=",DataEntry!AE56,", DataType=",DataEntry!K57,",  TimeSupportValue=",DataEntry!L56,", TimeSupportUnitID=",DataEntry!AD56,", Lateral Offset Distance=",DataEntry!O56,", Lateral Offset Direction=",DataEntry!P56,", Z-Offset=",DataEntry!Q56,", OffsetUnitsID=",DataEntry!AI56,", Comments=",DataEntry!S56,", Comments=",DataEntry!S56)))</f>
        <v/>
      </c>
    </row>
    <row r="71" spans="1:1" x14ac:dyDescent="0.2">
      <c r="A71" t="str">
        <f>IF(ROW(A71)=(33+DataEntry!$C$12),"\data",IF(DataEntry!A57="","",CONCATENATE("COL",DataEntry!A57+3,".  DataSeriesID=",,INDEX(DataSeries!$A$2:$R$500,MATCH(DataEntry!AL57,DataSeries!$AC$2:$AC$500,0),1),", SiteCode=",DataEntry!B57,", InstallationID=",DataEntry!W57,", SensorID=",DataEntry!X57,", SensorManufacturer=",DataEntry!E57,", SensorModel=",DataEntry!F57,", SensorSerialNumber=",DataEntry!G57," ,VariableID=",DataEntry!Y57," ,VariableName=",DataEntry!I57,", VariableUnitID=",DataEntry!Z57,", VariableUnits=",DataEntry!J57,", MediumType=",DataEntry!AE57,", DataType=",DataEntry!K58,",  TimeSupportValue=",DataEntry!L57,", TimeSupportUnitID=",DataEntry!AD57,", Lateral Offset Distance=",DataEntry!O57,", Lateral Offset Direction=",DataEntry!P57,", Z-Offset=",DataEntry!Q57,", OffsetUnitsID=",DataEntry!AI57,", Comments=",DataEntry!S57,", Comments=",DataEntry!S57)))</f>
        <v/>
      </c>
    </row>
    <row r="72" spans="1:1" x14ac:dyDescent="0.2">
      <c r="A72" t="str">
        <f>IF(ROW(A72)=(33+DataEntry!$C$12),"\data",IF(DataEntry!A58="","",CONCATENATE("COL",DataEntry!A58+3,".  DataSeriesID=",,INDEX(DataSeries!$A$2:$R$500,MATCH(DataEntry!AL58,DataSeries!$AC$2:$AC$500,0),1),", SiteCode=",DataEntry!B58,", InstallationID=",DataEntry!W58,", SensorID=",DataEntry!X58,", SensorManufacturer=",DataEntry!E58,", SensorModel=",DataEntry!F58,", SensorSerialNumber=",DataEntry!G58," ,VariableID=",DataEntry!Y58," ,VariableName=",DataEntry!I58,", VariableUnitID=",DataEntry!Z58,", VariableUnits=",DataEntry!J58,", MediumType=",DataEntry!AE58,", DataType=",DataEntry!K59,",  TimeSupportValue=",DataEntry!L58,", TimeSupportUnitID=",DataEntry!AD58,", Lateral Offset Distance=",DataEntry!O58,", Lateral Offset Direction=",DataEntry!P58,", Z-Offset=",DataEntry!Q58,", OffsetUnitsID=",DataEntry!AI58,", Comments=",DataEntry!S58,", Comments=",DataEntry!S58)))</f>
        <v/>
      </c>
    </row>
    <row r="73" spans="1:1" x14ac:dyDescent="0.2">
      <c r="A73" t="str">
        <f>IF(ROW(A73)=(33+DataEntry!$C$12),"\data",IF(DataEntry!A59="","",CONCATENATE("COL",DataEntry!A59+3,".  DataSeriesID=",,INDEX(DataSeries!$A$2:$R$500,MATCH(DataEntry!AL59,DataSeries!$AC$2:$AC$500,0),1),", SiteCode=",DataEntry!B59,", InstallationID=",DataEntry!W59,", SensorID=",DataEntry!X59,", SensorManufacturer=",DataEntry!E59,", SensorModel=",DataEntry!F59,", SensorSerialNumber=",DataEntry!G59," ,VariableID=",DataEntry!Y59," ,VariableName=",DataEntry!I59,", VariableUnitID=",DataEntry!Z59,", VariableUnits=",DataEntry!J59,", MediumType=",DataEntry!AE59,", DataType=",DataEntry!K60,",  TimeSupportValue=",DataEntry!L59,", TimeSupportUnitID=",DataEntry!AD59,", Lateral Offset Distance=",DataEntry!O59,", Lateral Offset Direction=",DataEntry!P59,", Z-Offset=",DataEntry!Q59,", OffsetUnitsID=",DataEntry!AI59,", Comments=",DataEntry!S59,", Comments=",DataEntry!S59)))</f>
        <v/>
      </c>
    </row>
    <row r="74" spans="1:1" x14ac:dyDescent="0.2">
      <c r="A74" t="str">
        <f>IF(ROW(A74)=(33+DataEntry!$C$12),"\data",IF(DataEntry!A60="","",CONCATENATE("COL",DataEntry!A60+3,".  DataSeriesID=",,INDEX(DataSeries!$A$2:$R$500,MATCH(DataEntry!AL60,DataSeries!$AC$2:$AC$500,0),1),", SiteCode=",DataEntry!B60,", InstallationID=",DataEntry!W60,", SensorID=",DataEntry!X60,", SensorManufacturer=",DataEntry!E60,", SensorModel=",DataEntry!F60,", SensorSerialNumber=",DataEntry!G60," ,VariableID=",DataEntry!Y60," ,VariableName=",DataEntry!I60,", VariableUnitID=",DataEntry!Z60,", VariableUnits=",DataEntry!J60,", MediumType=",DataEntry!AE60,", DataType=",DataEntry!K61,",  TimeSupportValue=",DataEntry!L60,", TimeSupportUnitID=",DataEntry!AD60,", Lateral Offset Distance=",DataEntry!O60,", Lateral Offset Direction=",DataEntry!P60,", Z-Offset=",DataEntry!Q60,", OffsetUnitsID=",DataEntry!AI60,", Comments=",DataEntry!S60,", Comments=",DataEntry!S60)))</f>
        <v/>
      </c>
    </row>
    <row r="75" spans="1:1" x14ac:dyDescent="0.2">
      <c r="A75" t="str">
        <f>IF(ROW(A75)=(33+DataEntry!$C$12),"\data",IF(DataEntry!A61="","",CONCATENATE("COL",DataEntry!A61+3,".  DataSeriesID=",,INDEX(DataSeries!$A$2:$R$500,MATCH(DataEntry!AL61,DataSeries!$AC$2:$AC$500,0),1),", SiteCode=",DataEntry!B61,", InstallationID=",DataEntry!W61,", SensorID=",DataEntry!X61,", SensorManufacturer=",DataEntry!E61,", SensorModel=",DataEntry!F61,", SensorSerialNumber=",DataEntry!G61," ,VariableID=",DataEntry!Y61," ,VariableName=",DataEntry!I61,", VariableUnitID=",DataEntry!Z61,", VariableUnits=",DataEntry!J61,", MediumType=",DataEntry!AE61,", DataType=",DataEntry!K62,",  TimeSupportValue=",DataEntry!L61,", TimeSupportUnitID=",DataEntry!AD61,", Lateral Offset Distance=",DataEntry!O61,", Lateral Offset Direction=",DataEntry!P61,", Z-Offset=",DataEntry!Q61,", OffsetUnitsID=",DataEntry!AI61,", Comments=",DataEntry!S61,", Comments=",DataEntry!S61)))</f>
        <v/>
      </c>
    </row>
    <row r="76" spans="1:1" x14ac:dyDescent="0.2">
      <c r="A76" t="str">
        <f>IF(ROW(A76)=(33+DataEntry!$C$12),"\data",IF(DataEntry!A62="","",CONCATENATE("COL",DataEntry!A62+3,".  DataSeriesID=",,INDEX(DataSeries!$A$2:$R$500,MATCH(DataEntry!AL62,DataSeries!$AC$2:$AC$500,0),1),", SiteCode=",DataEntry!B62,", InstallationID=",DataEntry!W62,", SensorID=",DataEntry!X62,", SensorManufacturer=",DataEntry!E62,", SensorModel=",DataEntry!F62,", SensorSerialNumber=",DataEntry!G62," ,VariableID=",DataEntry!Y62," ,VariableName=",DataEntry!I62,", VariableUnitID=",DataEntry!Z62,", VariableUnits=",DataEntry!J62,", MediumType=",DataEntry!AE62,", DataType=",DataEntry!K63,",  TimeSupportValue=",DataEntry!L62,", TimeSupportUnitID=",DataEntry!AD62,", Lateral Offset Distance=",DataEntry!O62,", Lateral Offset Direction=",DataEntry!P62,", Z-Offset=",DataEntry!Q62,", OffsetUnitsID=",DataEntry!AI62,", Comments=",DataEntry!S62,", Comments=",DataEntry!S62)))</f>
        <v/>
      </c>
    </row>
    <row r="77" spans="1:1" x14ac:dyDescent="0.2">
      <c r="A77" t="str">
        <f>IF(ROW(A77)=(33+DataEntry!$C$12),"\data",IF(DataEntry!A63="","",CONCATENATE("COL",DataEntry!A63+3,".  DataSeriesID=",,INDEX(DataSeries!$A$2:$R$500,MATCH(DataEntry!AL63,DataSeries!$AC$2:$AC$500,0),1),", SiteCode=",DataEntry!B63,", InstallationID=",DataEntry!W63,", SensorID=",DataEntry!X63,", SensorManufacturer=",DataEntry!E63,", SensorModel=",DataEntry!F63,", SensorSerialNumber=",DataEntry!G63," ,VariableID=",DataEntry!Y63," ,VariableName=",DataEntry!I63,", VariableUnitID=",DataEntry!Z63,", VariableUnits=",DataEntry!J63,", MediumType=",DataEntry!AE63,", DataType=",DataEntry!K64,",  TimeSupportValue=",DataEntry!L63,", TimeSupportUnitID=",DataEntry!AD63,", Lateral Offset Distance=",DataEntry!O63,", Lateral Offset Direction=",DataEntry!P63,", Z-Offset=",DataEntry!Q63,", OffsetUnitsID=",DataEntry!AI63,", Comments=",DataEntry!S63,", Comments=",DataEntry!S63)))</f>
        <v/>
      </c>
    </row>
    <row r="78" spans="1:1" x14ac:dyDescent="0.2">
      <c r="A78" t="str">
        <f>IF(ROW(A78)=(33+DataEntry!$C$12),"\data",IF(DataEntry!A64="","",CONCATENATE("COL",DataEntry!A64+3,".  DataSeriesID=",,INDEX(DataSeries!$A$2:$R$500,MATCH(DataEntry!AL64,DataSeries!$AC$2:$AC$500,0),1),", SiteCode=",DataEntry!B64,", InstallationID=",DataEntry!W64,", SensorID=",DataEntry!X64,", SensorManufacturer=",DataEntry!E64,", SensorModel=",DataEntry!F64,", SensorSerialNumber=",DataEntry!G64," ,VariableID=",DataEntry!Y64," ,VariableName=",DataEntry!I64,", VariableUnitID=",DataEntry!Z64,", VariableUnits=",DataEntry!J64,", MediumType=",DataEntry!AE64,", DataType=",DataEntry!K65,",  TimeSupportValue=",DataEntry!L64,", TimeSupportUnitID=",DataEntry!AD64,", Lateral Offset Distance=",DataEntry!O64,", Lateral Offset Direction=",DataEntry!P64,", Z-Offset=",DataEntry!Q64,", OffsetUnitsID=",DataEntry!AI64,", Comments=",DataEntry!S64,", Comments=",DataEntry!S64)))</f>
        <v/>
      </c>
    </row>
    <row r="79" spans="1:1" x14ac:dyDescent="0.2">
      <c r="A79" t="str">
        <f>IF(ROW(A79)=(33+DataEntry!$C$12),"\data",IF(DataEntry!A65="","",CONCATENATE("COL",DataEntry!A65+3,".  DataSeriesID=",,INDEX(DataSeries!$A$2:$R$500,MATCH(DataEntry!AL65,DataSeries!$AC$2:$AC$500,0),1),", SiteCode=",DataEntry!B65,", InstallationID=",DataEntry!W65,", SensorID=",DataEntry!X65,", SensorManufacturer=",DataEntry!E65,", SensorModel=",DataEntry!F65,", SensorSerialNumber=",DataEntry!G65," ,VariableID=",DataEntry!Y65," ,VariableName=",DataEntry!I65,", VariableUnitID=",DataEntry!Z65,", VariableUnits=",DataEntry!J65,", MediumType=",DataEntry!AE65,", DataType=",DataEntry!K66,",  TimeSupportValue=",DataEntry!L65,", TimeSupportUnitID=",DataEntry!AD65,", Lateral Offset Distance=",DataEntry!O65,", Lateral Offset Direction=",DataEntry!P65,", Z-Offset=",DataEntry!Q65,", OffsetUnitsID=",DataEntry!AI65,", Comments=",DataEntry!S65,", Comments=",DataEntry!S65)))</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SingleTable</vt:lpstr>
      <vt:lpstr>Instructions</vt:lpstr>
      <vt:lpstr>DataStream</vt:lpstr>
      <vt:lpstr>Sites</vt:lpstr>
      <vt:lpstr>Logger</vt:lpstr>
      <vt:lpstr>Sensors</vt:lpstr>
      <vt:lpstr>Variables</vt:lpstr>
      <vt:lpstr>Calibrations</vt:lpstr>
      <vt:lpstr>People</vt:lpstr>
      <vt:lpstr>UnitsCV</vt:lpstr>
      <vt:lpstr>DataTypeCV</vt:lpstr>
      <vt:lpstr>MediumTypeCV</vt:lpstr>
      <vt:lpstr>Deployment</vt:lpstr>
      <vt:lpstr>DataSeries</vt:lpstr>
      <vt:lpstr>DataValue</vt:lpstr>
      <vt:lpstr>DataEntry</vt:lpstr>
      <vt:lpstr>Header-Verbose</vt:lpstr>
    </vt:vector>
  </TitlesOfParts>
  <Company>Stroud Water Research Center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SWRC</dc:creator>
  <cp:lastModifiedBy>Melanie Arnold</cp:lastModifiedBy>
  <dcterms:created xsi:type="dcterms:W3CDTF">2012-01-31T16:25:04Z</dcterms:created>
  <dcterms:modified xsi:type="dcterms:W3CDTF">2013-01-18T18:00:18Z</dcterms:modified>
</cp:coreProperties>
</file>